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753a20389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94ab47e6cd4b08"/>
    <x:sheet xmlns:r="http://schemas.openxmlformats.org/officeDocument/2006/relationships" name="Assumptions" sheetId="2" r:id="Rcc906c784bd34182"/>
    <x:sheet xmlns:r="http://schemas.openxmlformats.org/officeDocument/2006/relationships" name="Statements" sheetId="3" r:id="Re31560b872d84d08"/>
    <x:sheet xmlns:r="http://schemas.openxmlformats.org/officeDocument/2006/relationships" name="Operations" sheetId="4" r:id="Ra028baf78a5d43d4"/>
    <x:sheet xmlns:r="http://schemas.openxmlformats.org/officeDocument/2006/relationships" name="CapitalWC" sheetId="5" r:id="R7501039aa6104a4b"/>
    <x:sheet xmlns:r="http://schemas.openxmlformats.org/officeDocument/2006/relationships" name="Financing" sheetId="6" r:id="Ra59c6a7459b342f3"/>
    <x:sheet xmlns:r="http://schemas.openxmlformats.org/officeDocument/2006/relationships" name="Valuation" sheetId="7" r:id="R24ba1f03bbe94a6f"/>
    <x:sheet xmlns:r="http://schemas.openxmlformats.org/officeDocument/2006/relationships" name="Comps" sheetId="8" r:id="Rc0a4023ed7a24b4f"/>
    <x:sheet xmlns:r="http://schemas.openxmlformats.org/officeDocument/2006/relationships" name="Precedents" sheetId="9" r:id="R9fb34fdcc01a439e"/>
    <x:sheet xmlns:r="http://schemas.openxmlformats.org/officeDocument/2006/relationships" name="Deal" sheetId="10" r:id="R43a8897976364384"/>
    <x:sheet xmlns:r="http://schemas.openxmlformats.org/officeDocument/2006/relationships" name="Synergies" sheetId="11" r:id="R09fd0105f106464e"/>
    <x:sheet xmlns:r="http://schemas.openxmlformats.org/officeDocument/2006/relationships" name="Accretion" sheetId="12" r:id="Rede8a2071f2a4afb"/>
    <x:sheet xmlns:r="http://schemas.openxmlformats.org/officeDocument/2006/relationships" name="Sensitivities" sheetId="13" r:id="R518d2c14bacd4ae0"/>
    <x:sheet xmlns:r="http://schemas.openxmlformats.org/officeDocument/2006/relationships" name="History" sheetId="14" r:id="Rb2485d66259445e0"/>
    <x:sheet xmlns:r="http://schemas.openxmlformats.org/officeDocument/2006/relationships" name="Sources" sheetId="15" r:id="Rffda582152214595"/>
    <x:sheet xmlns:r="http://schemas.openxmlformats.org/officeDocument/2006/relationships" name="Checks" sheetId="16" r:id="Rdda19faa63e748db"/>
    <x:sheet xmlns:r="http://schemas.openxmlformats.org/officeDocument/2006/relationships" name="ReadMe" sheetId="17" r:id="R949658721f31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&quot;–&quot;"/>
    <x:numFmt numFmtId="201" formatCode="0.00;(0.00);&quot;–&quot;"/>
    <x:numFmt numFmtId="202" formatCode="0.0%;(0.0%);&quot;–&quot;"/>
    <x:numFmt numFmtId="203" formatCode="0"/>
    <x:numFmt numFmtId="204" formatCode="0.00;(0.00);0.00"/>
    <x:numFmt numFmtId="205" formatCode="0.0000"/>
  </x:numFmts>
  <x:fonts count="11">
    <x:font>
      <x:sz val="11"/>
      <x:name val="Carlito"/>
    </x:font>
    <x:font>
      <x:sz val="10"/>
      <x:color rgb="FF182D46"/>
      <x:name val="Arial"/>
    </x:font>
    <x:font>
      <x:b/>
      <x:sz val="16"/>
      <x:color rgb="FF122C49"/>
      <x:name val="Arial"/>
    </x:font>
    <x:font>
      <x:i/>
      <x:sz val="10"/>
      <x:color rgb="FF182D46"/>
      <x:name val="Arial"/>
    </x:font>
    <x:font>
      <x:sz val="10"/>
      <x:color rgb="FF00804A"/>
      <x:name val="Arial"/>
    </x:font>
    <x:font>
      <x:b/>
      <x:sz val="10"/>
      <x:color rgb="FFFFFFFF"/>
      <x:name val="Arial"/>
    </x:font>
    <x:font>
      <x:sz val="10"/>
      <x:color rgb="FF1647C9"/>
      <x:name val="Arial"/>
    </x:font>
    <x:font>
      <x:sz val="10"/>
      <x:color rgb="FF657184"/>
      <x:name val="Arial"/>
    </x:font>
    <x:font>
      <x:b/>
      <x:sz val="10"/>
      <x:color rgb="FF183652"/>
      <x:name val="Arial"/>
    </x:font>
    <x:font>
      <x:b/>
      <x:sz val="10"/>
      <x:color rgb="FF182D46"/>
      <x:name val="Arial"/>
    </x:font>
    <x:font>
      <x:b/>
      <x:sz val="10"/>
      <x:color rgb="FF0080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A59"/>
      </x:patternFill>
    </x:fill>
    <x:fill>
      <x:patternFill patternType="solid">
        <x:fgColor rgb="FFE6EDF4"/>
      </x:patternFill>
    </x:fill>
    <x:fill>
      <x:patternFill patternType="solid">
        <x:fgColor rgb="FFEAF0F6"/>
      </x:patternFill>
    </x:fill>
  </x:fills>
  <x:borders count="2">
    <x:border/>
    <x:border>
      <x:top style="thin">
        <x:color rgb="FFA6B7C7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2" fontId="1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0" fontId="9" fillId="0" borderId="0" xfId="0" applyNumberFormat="1" applyFont="1" applyFill="1" applyBorder="1"/>
    <x:xf numFmtId="200" fontId="10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10" fillId="0" borderId="1" xfId="0" applyNumberFormat="1" applyFont="1" applyFill="1" applyBorder="1"/>
    <x:xf numFmtId="200" fontId="9" fillId="0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6" fillId="0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E1521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6ca06ad704974" /><Relationship Type="http://schemas.openxmlformats.org/officeDocument/2006/relationships/theme" Target="/xl/theme/theme1.xml" Id="R06bb4d336b314e12" /><Relationship Type="http://schemas.openxmlformats.org/officeDocument/2006/relationships/sharedStrings" Target="/xl/sharedStrings.xml" Id="R6b7ce37b4e844dd2" /><Relationship Type="http://schemas.openxmlformats.org/officeDocument/2006/relationships/worksheet" Target="/xl/worksheets/sheet1.xml" Id="R2094ab47e6cd4b08" /><Relationship Type="http://schemas.openxmlformats.org/officeDocument/2006/relationships/worksheet" Target="/xl/worksheets/sheet2.xml" Id="Rcc906c784bd34182" /><Relationship Type="http://schemas.openxmlformats.org/officeDocument/2006/relationships/worksheet" Target="/xl/worksheets/sheet3.xml" Id="Re31560b872d84d08" /><Relationship Type="http://schemas.openxmlformats.org/officeDocument/2006/relationships/worksheet" Target="/xl/worksheets/sheet4.xml" Id="Ra028baf78a5d43d4" /><Relationship Type="http://schemas.openxmlformats.org/officeDocument/2006/relationships/worksheet" Target="/xl/worksheets/sheet5.xml" Id="R7501039aa6104a4b" /><Relationship Type="http://schemas.openxmlformats.org/officeDocument/2006/relationships/worksheet" Target="/xl/worksheets/sheet6.xml" Id="Ra59c6a7459b342f3" /><Relationship Type="http://schemas.openxmlformats.org/officeDocument/2006/relationships/worksheet" Target="/xl/worksheets/sheet7.xml" Id="R24ba1f03bbe94a6f" /><Relationship Type="http://schemas.openxmlformats.org/officeDocument/2006/relationships/worksheet" Target="/xl/worksheets/sheet8.xml" Id="Rc0a4023ed7a24b4f" /><Relationship Type="http://schemas.openxmlformats.org/officeDocument/2006/relationships/worksheet" Target="/xl/worksheets/sheet9.xml" Id="R9fb34fdcc01a439e" /><Relationship Type="http://schemas.openxmlformats.org/officeDocument/2006/relationships/worksheet" Target="/xl/worksheets/sheet10.xml" Id="R43a8897976364384" /><Relationship Type="http://schemas.openxmlformats.org/officeDocument/2006/relationships/worksheet" Target="/xl/worksheets/sheet11.xml" Id="R09fd0105f106464e" /><Relationship Type="http://schemas.openxmlformats.org/officeDocument/2006/relationships/worksheet" Target="/xl/worksheets/sheet12.xml" Id="Rede8a2071f2a4afb" /><Relationship Type="http://schemas.openxmlformats.org/officeDocument/2006/relationships/worksheet" Target="/xl/worksheets/sheet13.xml" Id="R518d2c14bacd4ae0" /><Relationship Type="http://schemas.openxmlformats.org/officeDocument/2006/relationships/worksheet" Target="/xl/worksheets/sheet14.xml" Id="Rb2485d66259445e0" /><Relationship Type="http://schemas.openxmlformats.org/officeDocument/2006/relationships/worksheet" Target="/xl/worksheets/sheet15.xml" Id="Rffda582152214595" /><Relationship Type="http://schemas.openxmlformats.org/officeDocument/2006/relationships/worksheet" Target="/xl/worksheets/sheet16.xml" Id="Rdda19faa63e748db" /><Relationship Type="http://schemas.openxmlformats.org/officeDocument/2006/relationships/worksheet" Target="/xl/worksheets/sheet17.xml" Id="R949658721f3146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31aa2a79cf46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Standalone revenue and EBITDA (USDm)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'Dashboard'!$C$28:$C$32</c:f>
              <c:strCache>
                <c:ptCount val="0"/>
              </c:strCache>
            </c:strRef>
          </c:cat>
          <c:val>
            <c:numRef>
              <c:f>'Dashboard'!$D$28:$D$32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'Dashboard'!$C$28:$C$32</c:f>
              <c:strCache>
                <c:ptCount val="0"/>
              </c:strCache>
            </c:strRef>
          </c:cat>
          <c:val>
            <c:numRef>
              <c:f>'Dashboard'!$E$28:$E$32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31aa2a79cf46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cd927851fb4122" /></Relationships>
</file>

<file path=xl/worksheets/sheet1.xml><?xml version="1.0" encoding="utf-8"?>
<x:worksheet xmlns:x="http://schemas.openxmlformats.org/spreadsheetml/2006/main">
  <x:sheetPr>
    <x:tabColor rgb="FF193A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PepsiCo / Celsius: hypothetical acquisition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2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1"/>
      <x:c r="O6" s="1"/>
    </x:row>
    <x:row r="7" ht="21" customHeight="1">
      <x:c r="A7" s="1"/>
      <x:c r="B7" s="1"/>
      <x:c r="C7" s="1" t="str">
        <x:v>Illustrative offer price</x:v>
      </x:c>
      <x:c r="D7" s="34" t="n">
        <x:f>'Deal'!D9</x:f>
        <x:v>39.3125</x:v>
      </x:c>
      <x:c r="E7" s="2"/>
      <x:c r="F7" s="2"/>
      <x:c r="G7" s="2"/>
      <x:c r="H7" s="2"/>
      <x:c r="I7" s="2"/>
      <x:c r="J7" s="2"/>
      <x:c r="K7" s="2"/>
      <x:c r="L7" s="2"/>
      <x:c r="M7" s="2"/>
      <x:c r="N7" s="1"/>
      <x:c r="O7" s="1"/>
    </x:row>
    <x:row r="8" ht="21" customHeight="1">
      <x:c r="A8" s="1"/>
      <x:c r="B8" s="1"/>
      <x:c r="C8" s="1" t="str">
        <x:v>Standalone DCF per share</x:v>
      </x:c>
      <x:c r="D8" s="34" t="n">
        <x:f>'Valuation'!D42</x:f>
        <x:v>30.424023621176758</x:v>
      </x:c>
      <x:c r="E8" s="2"/>
      <x:c r="F8" s="2"/>
      <x:c r="G8" s="2"/>
      <x:c r="H8" s="2"/>
      <x:c r="I8" s="2"/>
      <x:c r="J8" s="2"/>
      <x:c r="K8" s="2"/>
      <x:c r="L8" s="2"/>
      <x:c r="M8" s="2"/>
      <x:c r="N8" s="1"/>
      <x:c r="O8" s="1"/>
    </x:row>
    <x:row r="9" ht="21" customHeight="1">
      <x:c r="A9" s="1"/>
      <x:c r="B9" s="1"/>
      <x:c r="C9" s="1" t="str">
        <x:v>Trading range low</x:v>
      </x:c>
      <x:c r="D9" s="34" t="n">
        <x:f>'Comps'!D43</x:f>
        <x:v>40.95111467206618</x:v>
      </x:c>
      <x:c r="E9" s="2"/>
      <x:c r="F9" s="2"/>
      <x:c r="G9" s="2"/>
      <x:c r="H9" s="2"/>
      <x:c r="I9" s="2"/>
      <x:c r="J9" s="2"/>
      <x:c r="K9" s="2"/>
      <x:c r="L9" s="2"/>
      <x:c r="M9" s="2"/>
      <x:c r="N9" s="1"/>
      <x:c r="O9" s="1"/>
    </x:row>
    <x:row r="10" ht="21" customHeight="1">
      <x:c r="A10" s="1"/>
      <x:c r="B10" s="1"/>
      <x:c r="C10" s="1" t="str">
        <x:v>Trading range high</x:v>
      </x:c>
      <x:c r="D10" s="34" t="n">
        <x:f>'Comps'!E43</x:f>
        <x:v>55.17303288251749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1"/>
      <x:c r="O10" s="1"/>
    </x:row>
    <x:row r="11" ht="21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 t="str">
        <x:v>Remaining equity consideration</x:v>
      </x:c>
      <x:c r="D12" s="2" t="n">
        <x:f>'Deal'!D16</x:f>
        <x:v>10031.9228476875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1"/>
      <x:c r="O12" s="1"/>
    </x:row>
    <x:row r="13" ht="21" customHeight="1">
      <x:c r="A13" s="1"/>
      <x:c r="B13" s="1"/>
      <x:c r="C13" s="1" t="str">
        <x:v>Cash / debt / stock funding</x:v>
      </x:c>
      <x:c r="D13" s="18" t="n">
        <x:f>'Assumptions'!$D$92</x:f>
        <x:v>0.2</x:v>
      </x:c>
      <x:c r="E13" s="18" t="n">
        <x:f>'Assumptions'!$D$93</x:f>
        <x:v>0.6</x:v>
      </x:c>
      <x:c r="F13" s="18" t="n">
        <x:f>1-'Assumptions'!$D$92-'Assumptions'!$D$93</x:f>
        <x:v>0.20000000000000007</x:v>
      </x:c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1" customHeight="1">
      <x:c r="A14" s="1"/>
      <x:c r="B14" s="1"/>
      <x:c r="C14" s="1" t="str">
        <x:v>FY2028 EPS accretion</x:v>
      </x:c>
      <x:c r="D14" s="18" t="n">
        <x:f>'Accretion'!K25</x:f>
        <x:v>0.014364985448881207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 t="str">
        <x:v>Acquisition NPV, 31 Aug 2026</x:v>
      </x:c>
      <x:c r="D15" s="2" t="n">
        <x:f>'Accretion'!D49</x:f>
        <x:v>-1626.8134812249205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1"/>
      <x:c r="O16" s="1"/>
    </x:row>
    <x:row r="17" ht="21" customHeight="1">
      <x:c r="A17" s="1"/>
      <x:c r="B17" s="1"/>
      <x:c r="C17" s="1" t="str">
        <x:v>EPS-based price ceiling</x:v>
      </x:c>
      <x:c r="D17" s="34" t="n">
        <x:f>'Accretion'!D43</x:f>
        <x:v>54.01856667036813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 t="str">
        <x:v>NPV-based price ceiling</x:v>
      </x:c>
      <x:c r="D18" s="34" t="n">
        <x:f>'Accretion'!D50</x:f>
        <x:v>32.84699157864134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1"/>
      <x:c r="O18" s="1"/>
    </x:row>
    <x:row r="19" ht="21" customHeight="1">
      <x:c r="A19" s="1"/>
      <x:c r="B19" s="1"/>
      <x:c r="C19" s="1" t="str">
        <x:v>Binding walk-away price</x:v>
      </x:c>
      <x:c r="D19" s="34" t="n">
        <x:f>'Accretion'!D52</x:f>
        <x:v>32.84699157864134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 t="str">
        <x:v>Indicative negotiation range low</x:v>
      </x:c>
      <x:c r="D20" s="34" t="n">
        <x:f>'Accretion'!D53</x:f>
        <x:v>29.562292420777204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 t="str">
        <x:v>Indicative negotiation range high</x:v>
      </x:c>
      <x:c r="D21" s="34" t="n">
        <x:f>'Accretion'!D54</x:f>
        <x:v>31.204641999709267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1" customHeight="1">
      <x:c r="A23" s="1"/>
      <x:c r="B23" s="1"/>
      <x:c r="C23" s="1" t="str">
        <x:v>Recommendation</x:v>
      </x:c>
      <x:c r="D23" s="28" t="str">
        <x:f>'Accretion'!D55</x:f>
        <x:v>Do not transact at illustrative offer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4" customHeight="1">
      <x:c r="A26" s="1"/>
      <x:c r="B26" s="1"/>
      <x:c r="C26" s="16" t="str">
        <x:v>Operating outlook</x:v>
      </x:c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"/>
      <x:c r="O26" s="1"/>
    </x:row>
    <x:row r="27" ht="21" customHeight="1">
      <x:c r="A27" s="1"/>
      <x:c r="B27" s="1"/>
      <x:c r="C27" s="1" t="str">
        <x:v>Year</x:v>
      </x:c>
      <x:c r="D27" s="2" t="str">
        <x:v>Revenue</x:v>
      </x:c>
      <x:c r="E27" s="2" t="str">
        <x:v>EBITDA</x:v>
      </x:c>
      <x:c r="F27" s="2" t="str">
        <x:v>Free cash flow</x:v>
      </x:c>
      <x:c r="G27" s="2"/>
      <x:c r="H27" s="2"/>
      <x:c r="I27" s="2"/>
      <x:c r="J27" s="2"/>
      <x:c r="K27" s="2"/>
      <x:c r="L27" s="2"/>
      <x:c r="M27" s="2"/>
      <x:c r="N27" s="1"/>
      <x:c r="O27" s="12" t="str">
        <x:v>Valuation 31 Aug 2026. Hypothetical closing 1 Jan 2027. Independent exercise; neither company commissioned or endorsed it.</x:v>
      </x:c>
    </x:row>
    <x:row r="28" ht="21" customHeight="1">
      <x:c r="A28" s="1"/>
      <x:c r="B28" s="1"/>
      <x:c r="C28" s="19" t="n">
        <x:v>2026</x:v>
      </x:c>
      <x:c r="D28" s="2" t="n">
        <x:f>'Operations'!I10</x:f>
        <x:v>3233.707</x:v>
      </x:c>
      <x:c r="E28" s="2" t="n">
        <x:f>'Operations'!I22</x:f>
        <x:v>579.9853799999999</x:v>
      </x:c>
      <x:c r="F28" s="2" t="n">
        <x:f>'Valuation'!I16</x:f>
        <x:v>341.7574356931509</x:v>
      </x:c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9" t="n">
        <x:v>2027</x:v>
      </x:c>
      <x:c r="D29" s="2" t="n">
        <x:f>'Operations'!J10</x:f>
        <x:v>3621.569</x:v>
      </x:c>
      <x:c r="E29" s="2" t="n">
        <x:f>'Operations'!J22</x:f>
        <x:v>834.46742724</x:v>
      </x:c>
      <x:c r="F29" s="2" t="n">
        <x:f>'Valuation'!J16</x:f>
        <x:v>563.2058611353423</x:v>
      </x:c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9" t="n">
        <x:v>2028</x:v>
      </x:c>
      <x:c r="D30" s="2" t="n">
        <x:f>'Operations'!K10</x:f>
        <x:v>3983.3637020000006</x:v>
      </x:c>
      <x:c r="E30" s="2" t="n">
        <x:f>'Operations'!K22</x:f>
        <x:v>960.4587618554001</x:v>
      </x:c>
      <x:c r="F30" s="2" t="n">
        <x:f>'Valuation'!K16</x:f>
        <x:v>651.2479422889681</x:v>
      </x:c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9" t="n">
        <x:v>2029</x:v>
      </x:c>
      <x:c r="D31" s="2" t="n">
        <x:f>'Operations'!L10</x:f>
        <x:v>4292.56076868</x:v>
      </x:c>
      <x:c r="E31" s="2" t="n">
        <x:f>'Operations'!L22</x:f>
        <x:v>1080.826623892719</x:v>
      </x:c>
      <x:c r="F31" s="2" t="n">
        <x:f>'Valuation'!L16</x:f>
        <x:v>743.6313457985001</x:v>
      </x:c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9" t="n">
        <x:v>2030</x:v>
      </x:c>
      <x:c r="D32" s="2" t="n">
        <x:f>'Operations'!M10</x:f>
        <x:v>4565.735473644001</x:v>
      </x:c>
      <x:c r="E32" s="2" t="n">
        <x:f>'Operations'!M22</x:f>
        <x:v>1161.67006680853</x:v>
      </x:c>
      <x:c r="F32" s="2" t="n">
        <x:f>'Valuation'!M16</x:f>
        <x:v>798.4480578510403</x:v>
      </x:c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mergeCells>
    <x:mergeCell ref="D23:M23"/>
  </x:mergeCells>
  <x:pageMargins left="0.7" right="0.7" top="0.75" bottom="0.75" header="0.3" footer="0.3"/>
  <x:drawing xmlns:r="http://schemas.openxmlformats.org/officeDocument/2006/relationships" r:id="R10cd927851fb4122"/>
</x:worksheet>
</file>

<file path=xl/worksheets/sheet2.xml><?xml version="1.0" encoding="utf-8"?>
<x:worksheet xmlns:x="http://schemas.openxmlformats.org/spreadsheetml/2006/main">
  <x:sheetPr>
    <x:tabColor rgb="FF193A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Scenario controls and dated assumptions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19" t="n">
        <x:v>1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 t="str">
        <x:f>CHOOSE(D3,"Base","Upside","Downside","Zero synergy")</x:f>
        <x:v>Base</x:v>
      </x:c>
      <x:c r="E4" s="2"/>
      <x:c r="F4" s="2" t="str">
        <x:v>1 Base; 2 Upside; 3 Downside; 4 Zero synergy</x:v>
      </x:c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1"/>
      <x:c r="O7" s="1"/>
    </x:row>
    <x:row r="8" ht="21" customHeight="1">
      <x:c r="A8" s="1"/>
      <x:c r="B8" s="1"/>
      <x:c r="C8" s="21" t="str">
        <x:v>CELSIUS growth (H2 vs H1; then YoY) / active</x:v>
      </x:c>
      <x:c r="D8" s="22"/>
      <x:c r="E8" s="22"/>
      <x:c r="F8" s="22"/>
      <x:c r="G8" s="22"/>
      <x:c r="H8" s="23" t="n">
        <x:f>CHOOSE($D$3,H9,H10,H11,H12)</x:f>
        <x:v>0</x:v>
      </x:c>
      <x:c r="I8" s="22"/>
      <x:c r="J8" s="23" t="n">
        <x:f>CHOOSE($D$3,J9,J10,J11,J12)</x:f>
        <x:v>0.08</x:v>
      </x:c>
      <x:c r="K8" s="23" t="n">
        <x:f>CHOOSE($D$3,K9,K10,K11,K12)</x:f>
        <x:v>0.07</x:v>
      </x:c>
      <x:c r="L8" s="23" t="n">
        <x:f>CHOOSE($D$3,L9,L10,L11,L12)</x:f>
        <x:v>0.06</x:v>
      </x:c>
      <x:c r="M8" s="23" t="n">
        <x:f>CHOOSE($D$3,M9,M10,M11,M12)</x:f>
        <x:v>0.05</x:v>
      </x:c>
      <x:c r="N8" s="1"/>
      <x:c r="O8" s="1"/>
    </x:row>
    <x:row r="9" ht="21" customHeight="1">
      <x:c r="A9" s="1"/>
      <x:c r="B9" s="1"/>
      <x:c r="C9" s="1" t="str">
        <x:v>Base</x:v>
      </x:c>
      <x:c r="D9" s="2"/>
      <x:c r="E9" s="2"/>
      <x:c r="F9" s="2"/>
      <x:c r="G9" s="2"/>
      <x:c r="H9" s="20" t="n">
        <x:v>0</x:v>
      </x:c>
      <x:c r="I9" s="2"/>
      <x:c r="J9" s="20" t="n">
        <x:v>0.08</x:v>
      </x:c>
      <x:c r="K9" s="20" t="n">
        <x:v>0.07</x:v>
      </x:c>
      <x:c r="L9" s="20" t="n">
        <x:v>0.06</x:v>
      </x:c>
      <x:c r="M9" s="20" t="n">
        <x:v>0.05</x:v>
      </x:c>
      <x:c r="N9" s="1"/>
      <x:c r="O9" s="1"/>
    </x:row>
    <x:row r="10" ht="21" customHeight="1">
      <x:c r="A10" s="1"/>
      <x:c r="B10" s="1"/>
      <x:c r="C10" s="1" t="str">
        <x:v>Upside</x:v>
      </x:c>
      <x:c r="D10" s="2"/>
      <x:c r="E10" s="2"/>
      <x:c r="F10" s="2"/>
      <x:c r="G10" s="2"/>
      <x:c r="H10" s="20" t="n">
        <x:v>0.05</x:v>
      </x:c>
      <x:c r="I10" s="2"/>
      <x:c r="J10" s="20" t="n">
        <x:v>0.12</x:v>
      </x:c>
      <x:c r="K10" s="20" t="n">
        <x:v>0.1</x:v>
      </x:c>
      <x:c r="L10" s="20" t="n">
        <x:v>0.08</x:v>
      </x:c>
      <x:c r="M10" s="20" t="n">
        <x:v>0.06</x:v>
      </x:c>
      <x:c r="N10" s="1"/>
      <x:c r="O10" s="1"/>
    </x:row>
    <x:row r="11" ht="21" customHeight="1">
      <x:c r="A11" s="1"/>
      <x:c r="B11" s="1"/>
      <x:c r="C11" s="1" t="str">
        <x:v>Downside</x:v>
      </x:c>
      <x:c r="D11" s="2"/>
      <x:c r="E11" s="2"/>
      <x:c r="F11" s="2"/>
      <x:c r="G11" s="2"/>
      <x:c r="H11" s="20" t="n">
        <x:v>-0.1</x:v>
      </x:c>
      <x:c r="I11" s="2"/>
      <x:c r="J11" s="20" t="n">
        <x:v>0.02</x:v>
      </x:c>
      <x:c r="K11" s="20" t="n">
        <x:v>0.03</x:v>
      </x:c>
      <x:c r="L11" s="20" t="n">
        <x:v>0.03</x:v>
      </x:c>
      <x:c r="M11" s="20" t="n">
        <x:v>0.03</x:v>
      </x:c>
      <x:c r="N11" s="1"/>
      <x:c r="O11" s="1"/>
    </x:row>
    <x:row r="12" ht="21" customHeight="1">
      <x:c r="A12" s="1"/>
      <x:c r="B12" s="1"/>
      <x:c r="C12" s="1" t="str">
        <x:v>Zero synergy</x:v>
      </x:c>
      <x:c r="D12" s="2"/>
      <x:c r="E12" s="2"/>
      <x:c r="F12" s="2"/>
      <x:c r="G12" s="2"/>
      <x:c r="H12" s="20" t="n">
        <x:v>0</x:v>
      </x:c>
      <x:c r="I12" s="2"/>
      <x:c r="J12" s="20" t="n">
        <x:v>0.08</x:v>
      </x:c>
      <x:c r="K12" s="20" t="n">
        <x:v>0.07</x:v>
      </x:c>
      <x:c r="L12" s="20" t="n">
        <x:v>0.06</x:v>
      </x:c>
      <x:c r="M12" s="20" t="n">
        <x:v>0.05</x:v>
      </x:c>
      <x:c r="N12" s="1"/>
      <x:c r="O12" s="1"/>
    </x:row>
    <x:row r="13" ht="21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1" customHeight="1">
      <x:c r="A14" s="1"/>
      <x:c r="B14" s="1"/>
      <x:c r="C14" s="21" t="str">
        <x:v>Alani growth (H2 vs H1; then YoY) / active</x:v>
      </x:c>
      <x:c r="D14" s="22"/>
      <x:c r="E14" s="22"/>
      <x:c r="F14" s="22"/>
      <x:c r="G14" s="22"/>
      <x:c r="H14" s="23" t="n">
        <x:f>CHOOSE($D$3,H15,H16,H17,H18)</x:f>
        <x:v>0.05</x:v>
      </x:c>
      <x:c r="I14" s="22"/>
      <x:c r="J14" s="23" t="n">
        <x:f>CHOOSE($D$3,J15,J16,J17,J18)</x:f>
        <x:v>0.18</x:v>
      </x:c>
      <x:c r="K14" s="23" t="n">
        <x:f>CHOOSE($D$3,K15,K16,K17,K18)</x:f>
        <x:v>0.14</x:v>
      </x:c>
      <x:c r="L14" s="23" t="n">
        <x:f>CHOOSE($D$3,L15,L16,L17,L18)</x:f>
        <x:v>0.1</x:v>
      </x:c>
      <x:c r="M14" s="23" t="n">
        <x:f>CHOOSE($D$3,M15,M16,M17,M18)</x:f>
        <x:v>0.08</x:v>
      </x:c>
      <x:c r="N14" s="1"/>
      <x:c r="O14" s="1"/>
    </x:row>
    <x:row r="15" ht="21" customHeight="1">
      <x:c r="A15" s="1"/>
      <x:c r="B15" s="1"/>
      <x:c r="C15" s="1" t="str">
        <x:v>Base</x:v>
      </x:c>
      <x:c r="D15" s="2"/>
      <x:c r="E15" s="2"/>
      <x:c r="F15" s="2"/>
      <x:c r="G15" s="2"/>
      <x:c r="H15" s="20" t="n">
        <x:v>0.05</x:v>
      </x:c>
      <x:c r="I15" s="2"/>
      <x:c r="J15" s="20" t="n">
        <x:v>0.18</x:v>
      </x:c>
      <x:c r="K15" s="20" t="n">
        <x:v>0.14</x:v>
      </x:c>
      <x:c r="L15" s="20" t="n">
        <x:v>0.1</x:v>
      </x:c>
      <x:c r="M15" s="20" t="n">
        <x:v>0.08</x:v>
      </x:c>
      <x:c r="N15" s="1"/>
      <x:c r="O15" s="1"/>
    </x:row>
    <x:row r="16" ht="21" customHeight="1">
      <x:c r="A16" s="1"/>
      <x:c r="B16" s="1"/>
      <x:c r="C16" s="1" t="str">
        <x:v>Upside</x:v>
      </x:c>
      <x:c r="D16" s="2"/>
      <x:c r="E16" s="2"/>
      <x:c r="F16" s="2"/>
      <x:c r="G16" s="2"/>
      <x:c r="H16" s="20" t="n">
        <x:v>0.12</x:v>
      </x:c>
      <x:c r="I16" s="2"/>
      <x:c r="J16" s="20" t="n">
        <x:v>0.25</x:v>
      </x:c>
      <x:c r="K16" s="20" t="n">
        <x:v>0.2</x:v>
      </x:c>
      <x:c r="L16" s="20" t="n">
        <x:v>0.15</x:v>
      </x:c>
      <x:c r="M16" s="20" t="n">
        <x:v>0.1</x:v>
      </x:c>
      <x:c r="N16" s="1"/>
      <x:c r="O16" s="1"/>
    </x:row>
    <x:row r="17" ht="21" customHeight="1">
      <x:c r="A17" s="1"/>
      <x:c r="B17" s="1"/>
      <x:c r="C17" s="1" t="str">
        <x:v>Downside</x:v>
      </x:c>
      <x:c r="D17" s="2"/>
      <x:c r="E17" s="2"/>
      <x:c r="F17" s="2"/>
      <x:c r="G17" s="2"/>
      <x:c r="H17" s="20" t="n">
        <x:v>-0.08</x:v>
      </x:c>
      <x:c r="I17" s="2"/>
      <x:c r="J17" s="20" t="n">
        <x:v>0.05</x:v>
      </x:c>
      <x:c r="K17" s="20" t="n">
        <x:v>0.05</x:v>
      </x:c>
      <x:c r="L17" s="20" t="n">
        <x:v>0.04</x:v>
      </x:c>
      <x:c r="M17" s="20" t="n">
        <x:v>0.04</x:v>
      </x:c>
      <x:c r="N17" s="1"/>
      <x:c r="O17" s="1"/>
    </x:row>
    <x:row r="18" ht="21" customHeight="1">
      <x:c r="A18" s="1"/>
      <x:c r="B18" s="1"/>
      <x:c r="C18" s="1" t="str">
        <x:v>Zero synergy</x:v>
      </x:c>
      <x:c r="D18" s="2"/>
      <x:c r="E18" s="2"/>
      <x:c r="F18" s="2"/>
      <x:c r="G18" s="2"/>
      <x:c r="H18" s="20" t="n">
        <x:v>0.05</x:v>
      </x:c>
      <x:c r="I18" s="2"/>
      <x:c r="J18" s="20" t="n">
        <x:v>0.18</x:v>
      </x:c>
      <x:c r="K18" s="20" t="n">
        <x:v>0.14</x:v>
      </x:c>
      <x:c r="L18" s="20" t="n">
        <x:v>0.1</x:v>
      </x:c>
      <x:c r="M18" s="20" t="n">
        <x:v>0.08</x:v>
      </x:c>
      <x:c r="N18" s="1"/>
      <x:c r="O18" s="1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21" t="str">
        <x:v>Rockstar growth (H2 vs H1; then YoY) / active</x:v>
      </x:c>
      <x:c r="D20" s="22"/>
      <x:c r="E20" s="22"/>
      <x:c r="F20" s="22"/>
      <x:c r="G20" s="22"/>
      <x:c r="H20" s="23" t="n">
        <x:f>CHOOSE($D$3,H21,H22,H23,H24)</x:f>
        <x:v>-0.03</x:v>
      </x:c>
      <x:c r="I20" s="22"/>
      <x:c r="J20" s="23" t="n">
        <x:f>CHOOSE($D$3,J21,J22,J23,J24)</x:f>
        <x:v>0</x:v>
      </x:c>
      <x:c r="K20" s="23" t="n">
        <x:f>CHOOSE($D$3,K21,K22,K23,K24)</x:f>
        <x:v>0.01</x:v>
      </x:c>
      <x:c r="L20" s="23" t="n">
        <x:f>CHOOSE($D$3,L21,L22,L23,L24)</x:f>
        <x:v>0.02</x:v>
      </x:c>
      <x:c r="M20" s="23" t="n">
        <x:f>CHOOSE($D$3,M21,M22,M23,M24)</x:f>
        <x:v>0.02</x:v>
      </x:c>
      <x:c r="N20" s="1"/>
      <x:c r="O20" s="1"/>
    </x:row>
    <x:row r="21" ht="21" customHeight="1">
      <x:c r="A21" s="1"/>
      <x:c r="B21" s="1"/>
      <x:c r="C21" s="1" t="str">
        <x:v>Base</x:v>
      </x:c>
      <x:c r="D21" s="2"/>
      <x:c r="E21" s="2"/>
      <x:c r="F21" s="2"/>
      <x:c r="G21" s="2"/>
      <x:c r="H21" s="20" t="n">
        <x:v>-0.03</x:v>
      </x:c>
      <x:c r="I21" s="2"/>
      <x:c r="J21" s="20" t="n">
        <x:v>0</x:v>
      </x:c>
      <x:c r="K21" s="20" t="n">
        <x:v>0.01</x:v>
      </x:c>
      <x:c r="L21" s="20" t="n">
        <x:v>0.02</x:v>
      </x:c>
      <x:c r="M21" s="20" t="n">
        <x:v>0.02</x:v>
      </x:c>
      <x:c r="N21" s="1"/>
      <x:c r="O21" s="1"/>
    </x:row>
    <x:row r="22" ht="21" customHeight="1">
      <x:c r="A22" s="1"/>
      <x:c r="B22" s="1"/>
      <x:c r="C22" s="1" t="str">
        <x:v>Upside</x:v>
      </x:c>
      <x:c r="D22" s="2"/>
      <x:c r="E22" s="2"/>
      <x:c r="F22" s="2"/>
      <x:c r="G22" s="2"/>
      <x:c r="H22" s="20" t="n">
        <x:v>0</x:v>
      </x:c>
      <x:c r="I22" s="2"/>
      <x:c r="J22" s="20" t="n">
        <x:v>0.03</x:v>
      </x:c>
      <x:c r="K22" s="20" t="n">
        <x:v>0.04</x:v>
      </x:c>
      <x:c r="L22" s="20" t="n">
        <x:v>0.04</x:v>
      </x:c>
      <x:c r="M22" s="20" t="n">
        <x:v>0.03</x:v>
      </x:c>
      <x:c r="N22" s="1"/>
      <x:c r="O22" s="1"/>
    </x:row>
    <x:row r="23" ht="21" customHeight="1">
      <x:c r="A23" s="1"/>
      <x:c r="B23" s="1"/>
      <x:c r="C23" s="1" t="str">
        <x:v>Downside</x:v>
      </x:c>
      <x:c r="D23" s="2"/>
      <x:c r="E23" s="2"/>
      <x:c r="F23" s="2"/>
      <x:c r="G23" s="2"/>
      <x:c r="H23" s="20" t="n">
        <x:v>-0.1</x:v>
      </x:c>
      <x:c r="I23" s="2"/>
      <x:c r="J23" s="20" t="n">
        <x:v>-0.05</x:v>
      </x:c>
      <x:c r="K23" s="20" t="n">
        <x:v>-0.03</x:v>
      </x:c>
      <x:c r="L23" s="20" t="n">
        <x:v>0</x:v>
      </x:c>
      <x:c r="M23" s="20" t="n">
        <x:v>0</x:v>
      </x:c>
      <x:c r="N23" s="1"/>
      <x:c r="O23" s="1"/>
    </x:row>
    <x:row r="24" ht="21" customHeight="1">
      <x:c r="A24" s="1"/>
      <x:c r="B24" s="1"/>
      <x:c r="C24" s="1" t="str">
        <x:v>Zero synergy</x:v>
      </x:c>
      <x:c r="D24" s="2"/>
      <x:c r="E24" s="2"/>
      <x:c r="F24" s="2"/>
      <x:c r="G24" s="2"/>
      <x:c r="H24" s="20" t="n">
        <x:v>-0.03</x:v>
      </x:c>
      <x:c r="I24" s="2"/>
      <x:c r="J24" s="20" t="n">
        <x:v>0</x:v>
      </x:c>
      <x:c r="K24" s="20" t="n">
        <x:v>0.01</x:v>
      </x:c>
      <x:c r="L24" s="20" t="n">
        <x:v>0.02</x:v>
      </x:c>
      <x:c r="M24" s="20" t="n">
        <x:v>0.02</x:v>
      </x:c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21" t="str">
        <x:v>Gross margin, incl. depreciation / active</x:v>
      </x:c>
      <x:c r="D26" s="22"/>
      <x:c r="E26" s="22"/>
      <x:c r="F26" s="22"/>
      <x:c r="G26" s="22"/>
      <x:c r="H26" s="23" t="n">
        <x:f>CHOOSE($D$3,H27,H28,H29,H30)</x:f>
        <x:v>0.49</x:v>
      </x:c>
      <x:c r="I26" s="22"/>
      <x:c r="J26" s="23" t="n">
        <x:f>CHOOSE($D$3,J27,J28,J29,J30)</x:f>
        <x:v>0.5</x:v>
      </x:c>
      <x:c r="K26" s="23" t="n">
        <x:f>CHOOSE($D$3,K27,K28,K29,K30)</x:f>
        <x:v>0.505</x:v>
      </x:c>
      <x:c r="L26" s="23" t="n">
        <x:f>CHOOSE($D$3,L27,L28,L29,L30)</x:f>
        <x:v>0.51</x:v>
      </x:c>
      <x:c r="M26" s="23" t="n">
        <x:f>CHOOSE($D$3,M27,M28,M29,M30)</x:f>
        <x:v>0.51</x:v>
      </x:c>
      <x:c r="N26" s="1"/>
      <x:c r="O26" s="1"/>
    </x:row>
    <x:row r="27" ht="21" customHeight="1">
      <x:c r="A27" s="1"/>
      <x:c r="B27" s="1"/>
      <x:c r="C27" s="1" t="str">
        <x:v>Base</x:v>
      </x:c>
      <x:c r="D27" s="2"/>
      <x:c r="E27" s="2"/>
      <x:c r="F27" s="2"/>
      <x:c r="G27" s="2"/>
      <x:c r="H27" s="20" t="n">
        <x:v>0.49</x:v>
      </x:c>
      <x:c r="I27" s="2"/>
      <x:c r="J27" s="20" t="n">
        <x:v>0.5</x:v>
      </x:c>
      <x:c r="K27" s="20" t="n">
        <x:v>0.505</x:v>
      </x:c>
      <x:c r="L27" s="20" t="n">
        <x:v>0.51</x:v>
      </x:c>
      <x:c r="M27" s="20" t="n">
        <x:v>0.51</x:v>
      </x:c>
      <x:c r="N27" s="1"/>
      <x:c r="O27" s="1"/>
    </x:row>
    <x:row r="28" ht="21" customHeight="1">
      <x:c r="A28" s="1"/>
      <x:c r="B28" s="1"/>
      <x:c r="C28" s="1" t="str">
        <x:v>Upside</x:v>
      </x:c>
      <x:c r="D28" s="2"/>
      <x:c r="E28" s="2"/>
      <x:c r="F28" s="2"/>
      <x:c r="G28" s="2"/>
      <x:c r="H28" s="20" t="n">
        <x:v>0.505</x:v>
      </x:c>
      <x:c r="I28" s="2"/>
      <x:c r="J28" s="20" t="n">
        <x:v>0.515</x:v>
      </x:c>
      <x:c r="K28" s="20" t="n">
        <x:v>0.525</x:v>
      </x:c>
      <x:c r="L28" s="20" t="n">
        <x:v>0.53</x:v>
      </x:c>
      <x:c r="M28" s="20" t="n">
        <x:v>0.53</x:v>
      </x:c>
      <x:c r="N28" s="1"/>
      <x:c r="O28" s="1"/>
    </x:row>
    <x:row r="29" ht="21" customHeight="1">
      <x:c r="A29" s="1"/>
      <x:c r="B29" s="1"/>
      <x:c r="C29" s="1" t="str">
        <x:v>Downside</x:v>
      </x:c>
      <x:c r="D29" s="2"/>
      <x:c r="E29" s="2"/>
      <x:c r="F29" s="2"/>
      <x:c r="G29" s="2"/>
      <x:c r="H29" s="20" t="n">
        <x:v>0.46</x:v>
      </x:c>
      <x:c r="I29" s="2"/>
      <x:c r="J29" s="20" t="n">
        <x:v>0.465</x:v>
      </x:c>
      <x:c r="K29" s="20" t="n">
        <x:v>0.47</x:v>
      </x:c>
      <x:c r="L29" s="20" t="n">
        <x:v>0.47</x:v>
      </x:c>
      <x:c r="M29" s="20" t="n">
        <x:v>0.47</x:v>
      </x:c>
      <x:c r="N29" s="1"/>
      <x:c r="O29" s="1"/>
    </x:row>
    <x:row r="30" ht="21" customHeight="1">
      <x:c r="A30" s="1"/>
      <x:c r="B30" s="1"/>
      <x:c r="C30" s="1" t="str">
        <x:v>Zero synergy</x:v>
      </x:c>
      <x:c r="D30" s="2"/>
      <x:c r="E30" s="2"/>
      <x:c r="F30" s="2"/>
      <x:c r="G30" s="2"/>
      <x:c r="H30" s="20" t="n">
        <x:v>0.49</x:v>
      </x:c>
      <x:c r="I30" s="2"/>
      <x:c r="J30" s="20" t="n">
        <x:v>0.5</x:v>
      </x:c>
      <x:c r="K30" s="20" t="n">
        <x:v>0.505</x:v>
      </x:c>
      <x:c r="L30" s="20" t="n">
        <x:v>0.51</x:v>
      </x:c>
      <x:c r="M30" s="20" t="n">
        <x:v>0.51</x:v>
      </x:c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21" t="str">
        <x:v>Cash SG&amp;A as % revenue / active</x:v>
      </x:c>
      <x:c r="D32" s="22"/>
      <x:c r="E32" s="22"/>
      <x:c r="F32" s="22"/>
      <x:c r="G32" s="22"/>
      <x:c r="H32" s="23" t="n">
        <x:f>CHOOSE($D$3,H33,H34,H35,H36)</x:f>
        <x:v>0.268</x:v>
      </x:c>
      <x:c r="I32" s="22"/>
      <x:c r="J32" s="23" t="n">
        <x:f>CHOOSE($D$3,J33,J34,J35,J36)</x:f>
        <x:v>0.26</x:v>
      </x:c>
      <x:c r="K32" s="23" t="n">
        <x:f>CHOOSE($D$3,K33,K34,K35,K36)</x:f>
        <x:v>0.255</x:v>
      </x:c>
      <x:c r="L32" s="23" t="n">
        <x:f>CHOOSE($D$3,L33,L34,L35,L36)</x:f>
        <x:v>0.25</x:v>
      </x:c>
      <x:c r="M32" s="23" t="n">
        <x:f>CHOOSE($D$3,M33,M34,M35,M36)</x:f>
        <x:v>0.248</x:v>
      </x:c>
      <x:c r="N32" s="1"/>
      <x:c r="O32" s="1"/>
    </x:row>
    <x:row r="33" ht="21" customHeight="1">
      <x:c r="A33" s="1"/>
      <x:c r="B33" s="1"/>
      <x:c r="C33" s="1" t="str">
        <x:v>Base</x:v>
      </x:c>
      <x:c r="D33" s="2"/>
      <x:c r="E33" s="2"/>
      <x:c r="F33" s="2"/>
      <x:c r="G33" s="2"/>
      <x:c r="H33" s="20" t="n">
        <x:v>0.268</x:v>
      </x:c>
      <x:c r="I33" s="2"/>
      <x:c r="J33" s="20" t="n">
        <x:v>0.26</x:v>
      </x:c>
      <x:c r="K33" s="20" t="n">
        <x:v>0.255</x:v>
      </x:c>
      <x:c r="L33" s="20" t="n">
        <x:v>0.25</x:v>
      </x:c>
      <x:c r="M33" s="20" t="n">
        <x:v>0.248</x:v>
      </x:c>
      <x:c r="N33" s="1"/>
      <x:c r="O33" s="1"/>
    </x:row>
    <x:row r="34" ht="21" customHeight="1">
      <x:c r="A34" s="1"/>
      <x:c r="B34" s="1"/>
      <x:c r="C34" s="1" t="str">
        <x:v>Upside</x:v>
      </x:c>
      <x:c r="D34" s="2"/>
      <x:c r="E34" s="2"/>
      <x:c r="F34" s="2"/>
      <x:c r="G34" s="2"/>
      <x:c r="H34" s="20" t="n">
        <x:v>0.26</x:v>
      </x:c>
      <x:c r="I34" s="2"/>
      <x:c r="J34" s="20" t="n">
        <x:v>0.25</x:v>
      </x:c>
      <x:c r="K34" s="20" t="n">
        <x:v>0.242</x:v>
      </x:c>
      <x:c r="L34" s="20" t="n">
        <x:v>0.238</x:v>
      </x:c>
      <x:c r="M34" s="20" t="n">
        <x:v>0.235</x:v>
      </x:c>
      <x:c r="N34" s="1"/>
      <x:c r="O34" s="1"/>
    </x:row>
    <x:row r="35" ht="21" customHeight="1">
      <x:c r="A35" s="1"/>
      <x:c r="B35" s="1"/>
      <x:c r="C35" s="1" t="str">
        <x:v>Downside</x:v>
      </x:c>
      <x:c r="D35" s="2"/>
      <x:c r="E35" s="2"/>
      <x:c r="F35" s="2"/>
      <x:c r="G35" s="2"/>
      <x:c r="H35" s="20" t="n">
        <x:v>0.29</x:v>
      </x:c>
      <x:c r="I35" s="2"/>
      <x:c r="J35" s="20" t="n">
        <x:v>0.29</x:v>
      </x:c>
      <x:c r="K35" s="20" t="n">
        <x:v>0.288</x:v>
      </x:c>
      <x:c r="L35" s="20" t="n">
        <x:v>0.285</x:v>
      </x:c>
      <x:c r="M35" s="20" t="n">
        <x:v>0.28</x:v>
      </x:c>
      <x:c r="N35" s="1"/>
      <x:c r="O35" s="1"/>
    </x:row>
    <x:row r="36" ht="21" customHeight="1">
      <x:c r="A36" s="1"/>
      <x:c r="B36" s="1"/>
      <x:c r="C36" s="1" t="str">
        <x:v>Zero synergy</x:v>
      </x:c>
      <x:c r="D36" s="2"/>
      <x:c r="E36" s="2"/>
      <x:c r="F36" s="2"/>
      <x:c r="G36" s="2"/>
      <x:c r="H36" s="20" t="n">
        <x:v>0.268</x:v>
      </x:c>
      <x:c r="I36" s="2"/>
      <x:c r="J36" s="20" t="n">
        <x:v>0.26</x:v>
      </x:c>
      <x:c r="K36" s="20" t="n">
        <x:v>0.255</x:v>
      </x:c>
      <x:c r="L36" s="20" t="n">
        <x:v>0.25</x:v>
      </x:c>
      <x:c r="M36" s="20" t="n">
        <x:v>0.248</x:v>
      </x:c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21" t="str">
        <x:v>Incremental revenue synergy % / active</x:v>
      </x:c>
      <x:c r="D38" s="22"/>
      <x:c r="E38" s="22"/>
      <x:c r="F38" s="22"/>
      <x:c r="G38" s="22"/>
      <x:c r="H38" s="23" t="n">
        <x:f>CHOOSE($D$3,H39,H40,H41,H42)</x:f>
        <x:v>0</x:v>
      </x:c>
      <x:c r="I38" s="22"/>
      <x:c r="J38" s="23" t="n">
        <x:f>CHOOSE($D$3,J39,J40,J41,J42)</x:f>
        <x:v>0.005</x:v>
      </x:c>
      <x:c r="K38" s="23" t="n">
        <x:f>CHOOSE($D$3,K39,K40,K41,K42)</x:f>
        <x:v>0.0125</x:v>
      </x:c>
      <x:c r="L38" s="23" t="n">
        <x:f>CHOOSE($D$3,L39,L40,L41,L42)</x:f>
        <x:v>0.02</x:v>
      </x:c>
      <x:c r="M38" s="23" t="n">
        <x:f>CHOOSE($D$3,M39,M40,M41,M42)</x:f>
        <x:v>0.02</x:v>
      </x:c>
      <x:c r="N38" s="1"/>
      <x:c r="O38" s="1"/>
    </x:row>
    <x:row r="39" ht="21" customHeight="1">
      <x:c r="A39" s="1"/>
      <x:c r="B39" s="1"/>
      <x:c r="C39" s="1" t="str">
        <x:v>Base</x:v>
      </x:c>
      <x:c r="D39" s="2"/>
      <x:c r="E39" s="2"/>
      <x:c r="F39" s="2"/>
      <x:c r="G39" s="2"/>
      <x:c r="H39" s="20" t="n">
        <x:v>0</x:v>
      </x:c>
      <x:c r="I39" s="2"/>
      <x:c r="J39" s="20" t="n">
        <x:v>0.005</x:v>
      </x:c>
      <x:c r="K39" s="20" t="n">
        <x:v>0.0125</x:v>
      </x:c>
      <x:c r="L39" s="20" t="n">
        <x:v>0.02</x:v>
      </x:c>
      <x:c r="M39" s="20" t="n">
        <x:v>0.02</x:v>
      </x:c>
      <x:c r="N39" s="1"/>
      <x:c r="O39" s="1"/>
    </x:row>
    <x:row r="40" ht="21" customHeight="1">
      <x:c r="A40" s="1"/>
      <x:c r="B40" s="1"/>
      <x:c r="C40" s="1" t="str">
        <x:v>Upside</x:v>
      </x:c>
      <x:c r="D40" s="2"/>
      <x:c r="E40" s="2"/>
      <x:c r="F40" s="2"/>
      <x:c r="G40" s="2"/>
      <x:c r="H40" s="20" t="n">
        <x:v>0</x:v>
      </x:c>
      <x:c r="I40" s="2"/>
      <x:c r="J40" s="20" t="n">
        <x:v>0.008</x:v>
      </x:c>
      <x:c r="K40" s="20" t="n">
        <x:v>0.018</x:v>
      </x:c>
      <x:c r="L40" s="20" t="n">
        <x:v>0.03</x:v>
      </x:c>
      <x:c r="M40" s="20" t="n">
        <x:v>0.03</x:v>
      </x:c>
      <x:c r="N40" s="1"/>
      <x:c r="O40" s="1"/>
    </x:row>
    <x:row r="41" ht="21" customHeight="1">
      <x:c r="A41" s="1"/>
      <x:c r="B41" s="1"/>
      <x:c r="C41" s="1" t="str">
        <x:v>Downside</x:v>
      </x:c>
      <x:c r="D41" s="2"/>
      <x:c r="E41" s="2"/>
      <x:c r="F41" s="2"/>
      <x:c r="G41" s="2"/>
      <x:c r="H41" s="20" t="n">
        <x:v>0</x:v>
      </x:c>
      <x:c r="I41" s="2"/>
      <x:c r="J41" s="20" t="n">
        <x:v>0.003</x:v>
      </x:c>
      <x:c r="K41" s="20" t="n">
        <x:v>0.006</x:v>
      </x:c>
      <x:c r="L41" s="20" t="n">
        <x:v>0.01</x:v>
      </x:c>
      <x:c r="M41" s="20" t="n">
        <x:v>0.01</x:v>
      </x:c>
      <x:c r="N41" s="1"/>
      <x:c r="O41" s="1"/>
    </x:row>
    <x:row r="42" ht="21" customHeight="1">
      <x:c r="A42" s="1"/>
      <x:c r="B42" s="1"/>
      <x:c r="C42" s="1" t="str">
        <x:v>Zero synergy</x:v>
      </x:c>
      <x:c r="D42" s="2"/>
      <x:c r="E42" s="2"/>
      <x:c r="F42" s="2"/>
      <x:c r="G42" s="2"/>
      <x:c r="H42" s="20" t="n">
        <x:v>0</x:v>
      </x:c>
      <x:c r="I42" s="2"/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21" t="str">
        <x:v>Savings % of cash SG&amp;A / active</x:v>
      </x:c>
      <x:c r="D44" s="22"/>
      <x:c r="E44" s="22"/>
      <x:c r="F44" s="22"/>
      <x:c r="G44" s="22"/>
      <x:c r="H44" s="23" t="n">
        <x:f>CHOOSE($D$3,H45,H46,H47,H48)</x:f>
        <x:v>0</x:v>
      </x:c>
      <x:c r="I44" s="22"/>
      <x:c r="J44" s="23" t="n">
        <x:f>CHOOSE($D$3,J45,J46,J47,J48)</x:f>
        <x:v>0.01</x:v>
      </x:c>
      <x:c r="K44" s="23" t="n">
        <x:f>CHOOSE($D$3,K45,K46,K47,K48)</x:f>
        <x:v>0.025</x:v>
      </x:c>
      <x:c r="L44" s="23" t="n">
        <x:f>CHOOSE($D$3,L45,L46,L47,L48)</x:f>
        <x:v>0.04</x:v>
      </x:c>
      <x:c r="M44" s="23" t="n">
        <x:f>CHOOSE($D$3,M45,M46,M47,M48)</x:f>
        <x:v>0.04</x:v>
      </x:c>
      <x:c r="N44" s="1"/>
      <x:c r="O44" s="1"/>
    </x:row>
    <x:row r="45" ht="21" customHeight="1">
      <x:c r="A45" s="1"/>
      <x:c r="B45" s="1"/>
      <x:c r="C45" s="1" t="str">
        <x:v>Base</x:v>
      </x:c>
      <x:c r="D45" s="2"/>
      <x:c r="E45" s="2"/>
      <x:c r="F45" s="2"/>
      <x:c r="G45" s="2"/>
      <x:c r="H45" s="20" t="n">
        <x:v>0</x:v>
      </x:c>
      <x:c r="I45" s="2"/>
      <x:c r="J45" s="20" t="n">
        <x:v>0.01</x:v>
      </x:c>
      <x:c r="K45" s="20" t="n">
        <x:v>0.025</x:v>
      </x:c>
      <x:c r="L45" s="20" t="n">
        <x:v>0.04</x:v>
      </x:c>
      <x:c r="M45" s="20" t="n">
        <x:v>0.04</x:v>
      </x:c>
      <x:c r="N45" s="1"/>
      <x:c r="O45" s="1"/>
    </x:row>
    <x:row r="46" ht="21" customHeight="1">
      <x:c r="A46" s="1"/>
      <x:c r="B46" s="1"/>
      <x:c r="C46" s="1" t="str">
        <x:v>Upside</x:v>
      </x:c>
      <x:c r="D46" s="2"/>
      <x:c r="E46" s="2"/>
      <x:c r="F46" s="2"/>
      <x:c r="G46" s="2"/>
      <x:c r="H46" s="20" t="n">
        <x:v>0</x:v>
      </x:c>
      <x:c r="I46" s="2"/>
      <x:c r="J46" s="20" t="n">
        <x:v>0.015</x:v>
      </x:c>
      <x:c r="K46" s="20" t="n">
        <x:v>0.035</x:v>
      </x:c>
      <x:c r="L46" s="20" t="n">
        <x:v>0.05</x:v>
      </x:c>
      <x:c r="M46" s="20" t="n">
        <x:v>0.05</x:v>
      </x:c>
      <x:c r="N46" s="1"/>
      <x:c r="O46" s="1"/>
    </x:row>
    <x:row r="47" ht="21" customHeight="1">
      <x:c r="A47" s="1"/>
      <x:c r="B47" s="1"/>
      <x:c r="C47" s="1" t="str">
        <x:v>Downside</x:v>
      </x:c>
      <x:c r="D47" s="2"/>
      <x:c r="E47" s="2"/>
      <x:c r="F47" s="2"/>
      <x:c r="G47" s="2"/>
      <x:c r="H47" s="20" t="n">
        <x:v>0</x:v>
      </x:c>
      <x:c r="I47" s="2"/>
      <x:c r="J47" s="20" t="n">
        <x:v>0.005</x:v>
      </x:c>
      <x:c r="K47" s="20" t="n">
        <x:v>0.0125</x:v>
      </x:c>
      <x:c r="L47" s="20" t="n">
        <x:v>0.02</x:v>
      </x:c>
      <x:c r="M47" s="20" t="n">
        <x:v>0.02</x:v>
      </x:c>
      <x:c r="N47" s="1"/>
      <x:c r="O47" s="1"/>
    </x:row>
    <x:row r="48" ht="21" customHeight="1">
      <x:c r="A48" s="1"/>
      <x:c r="B48" s="1"/>
      <x:c r="C48" s="1" t="str">
        <x:v>Zero synergy</x:v>
      </x:c>
      <x:c r="D48" s="2"/>
      <x:c r="E48" s="2"/>
      <x:c r="F48" s="2"/>
      <x:c r="G48" s="2"/>
      <x:c r="H48" s="20" t="n">
        <x:v>0</x:v>
      </x:c>
      <x:c r="I48" s="2"/>
      <x:c r="J48" s="20" t="n">
        <x:v>0</x:v>
      </x:c>
      <x:c r="K48" s="20" t="n">
        <x:v>0</x:v>
      </x:c>
      <x:c r="L48" s="20" t="n">
        <x:v>0</x:v>
      </x:c>
      <x:c r="M48" s="20" t="n">
        <x:v>0</x:v>
      </x:c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21" t="str">
        <x:v>Integration cash costs / active</x:v>
      </x:c>
      <x:c r="D50" s="22"/>
      <x:c r="E50" s="22"/>
      <x:c r="F50" s="22"/>
      <x:c r="G50" s="22"/>
      <x:c r="H50" s="22" t="n">
        <x:f>CHOOSE($D$3,H51,H52,H53,H54)</x:f>
        <x:v>0</x:v>
      </x:c>
      <x:c r="I50" s="22"/>
      <x:c r="J50" s="22" t="n">
        <x:f>CHOOSE($D$3,J51,J52,J53,J54)</x:f>
        <x:v>45</x:v>
      </x:c>
      <x:c r="K50" s="22" t="n">
        <x:f>CHOOSE($D$3,K51,K52,K53,K54)</x:f>
        <x:v>30</x:v>
      </x:c>
      <x:c r="L50" s="22" t="n">
        <x:f>CHOOSE($D$3,L51,L52,L53,L54)</x:f>
        <x:v>10</x:v>
      </x:c>
      <x:c r="M50" s="22" t="n">
        <x:f>CHOOSE($D$3,M51,M52,M53,M54)</x:f>
        <x:v>0</x:v>
      </x:c>
      <x:c r="N50" s="1"/>
      <x:c r="O50" s="1"/>
    </x:row>
    <x:row r="51" ht="21" customHeight="1">
      <x:c r="A51" s="1"/>
      <x:c r="B51" s="1"/>
      <x:c r="C51" s="1" t="str">
        <x:v>Base</x:v>
      </x:c>
      <x:c r="D51" s="2"/>
      <x:c r="E51" s="2"/>
      <x:c r="F51" s="2"/>
      <x:c r="G51" s="2"/>
      <x:c r="H51" s="11" t="n">
        <x:v>0</x:v>
      </x:c>
      <x:c r="I51" s="2"/>
      <x:c r="J51" s="11" t="n">
        <x:v>45</x:v>
      </x:c>
      <x:c r="K51" s="11" t="n">
        <x:v>30</x:v>
      </x:c>
      <x:c r="L51" s="11" t="n">
        <x:v>10</x:v>
      </x:c>
      <x:c r="M51" s="11" t="n">
        <x:v>0</x:v>
      </x:c>
      <x:c r="N51" s="1"/>
      <x:c r="O51" s="1"/>
    </x:row>
    <x:row r="52" ht="21" customHeight="1">
      <x:c r="A52" s="1"/>
      <x:c r="B52" s="1"/>
      <x:c r="C52" s="1" t="str">
        <x:v>Upside</x:v>
      </x:c>
      <x:c r="D52" s="2"/>
      <x:c r="E52" s="2"/>
      <x:c r="F52" s="2"/>
      <x:c r="G52" s="2"/>
      <x:c r="H52" s="11" t="n">
        <x:v>0</x:v>
      </x:c>
      <x:c r="I52" s="2"/>
      <x:c r="J52" s="11" t="n">
        <x:v>40</x:v>
      </x:c>
      <x:c r="K52" s="11" t="n">
        <x:v>25</x:v>
      </x:c>
      <x:c r="L52" s="11" t="n">
        <x:v>10</x:v>
      </x:c>
      <x:c r="M52" s="11" t="n">
        <x:v>0</x:v>
      </x:c>
      <x:c r="N52" s="1"/>
      <x:c r="O52" s="1"/>
    </x:row>
    <x:row r="53" ht="21" customHeight="1">
      <x:c r="A53" s="1"/>
      <x:c r="B53" s="1"/>
      <x:c r="C53" s="1" t="str">
        <x:v>Downside</x:v>
      </x:c>
      <x:c r="D53" s="2"/>
      <x:c r="E53" s="2"/>
      <x:c r="F53" s="2"/>
      <x:c r="G53" s="2"/>
      <x:c r="H53" s="11" t="n">
        <x:v>0</x:v>
      </x:c>
      <x:c r="I53" s="2"/>
      <x:c r="J53" s="11" t="n">
        <x:v>70</x:v>
      </x:c>
      <x:c r="K53" s="11" t="n">
        <x:v>40</x:v>
      </x:c>
      <x:c r="L53" s="11" t="n">
        <x:v>20</x:v>
      </x:c>
      <x:c r="M53" s="11" t="n">
        <x:v>10</x:v>
      </x:c>
      <x:c r="N53" s="1"/>
      <x:c r="O53" s="1"/>
    </x:row>
    <x:row r="54" ht="21" customHeight="1">
      <x:c r="A54" s="1"/>
      <x:c r="B54" s="1"/>
      <x:c r="C54" s="1" t="str">
        <x:v>Zero synergy</x:v>
      </x:c>
      <x:c r="D54" s="2"/>
      <x:c r="E54" s="2"/>
      <x:c r="F54" s="2"/>
      <x:c r="G54" s="2"/>
      <x:c r="H54" s="11" t="n">
        <x:v>0</x:v>
      </x:c>
      <x:c r="I54" s="2"/>
      <x:c r="J54" s="11" t="n">
        <x:v>45</x:v>
      </x:c>
      <x:c r="K54" s="11" t="n">
        <x:v>30</x:v>
      </x:c>
      <x:c r="L54" s="11" t="n">
        <x:v>10</x:v>
      </x:c>
      <x:c r="M54" s="11" t="n">
        <x:v>0</x:v>
      </x:c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21" t="str">
        <x:v>Revenue loss % / active</x:v>
      </x:c>
      <x:c r="D56" s="22"/>
      <x:c r="E56" s="22"/>
      <x:c r="F56" s="22"/>
      <x:c r="G56" s="22"/>
      <x:c r="H56" s="23" t="n">
        <x:f>CHOOSE($D$3,H57,H58,H59,H60)</x:f>
        <x:v>0</x:v>
      </x:c>
      <x:c r="I56" s="22"/>
      <x:c r="J56" s="23" t="n">
        <x:f>CHOOSE($D$3,J57,J58,J59,J60)</x:f>
        <x:v>0.005</x:v>
      </x:c>
      <x:c r="K56" s="23" t="n">
        <x:f>CHOOSE($D$3,K57,K58,K59,K60)</x:f>
        <x:v>0.0025</x:v>
      </x:c>
      <x:c r="L56" s="23" t="n">
        <x:f>CHOOSE($D$3,L57,L58,L59,L60)</x:f>
        <x:v>0</x:v>
      </x:c>
      <x:c r="M56" s="23" t="n">
        <x:f>CHOOSE($D$3,M57,M58,M59,M60)</x:f>
        <x:v>0</x:v>
      </x:c>
      <x:c r="N56" s="1"/>
      <x:c r="O56" s="1"/>
    </x:row>
    <x:row r="57" ht="21" customHeight="1">
      <x:c r="A57" s="1"/>
      <x:c r="B57" s="1"/>
      <x:c r="C57" s="1" t="str">
        <x:v>Base</x:v>
      </x:c>
      <x:c r="D57" s="2"/>
      <x:c r="E57" s="2"/>
      <x:c r="F57" s="2"/>
      <x:c r="G57" s="2"/>
      <x:c r="H57" s="20" t="n">
        <x:v>0</x:v>
      </x:c>
      <x:c r="I57" s="2"/>
      <x:c r="J57" s="20" t="n">
        <x:v>0.005</x:v>
      </x:c>
      <x:c r="K57" s="20" t="n">
        <x:v>0.0025</x:v>
      </x:c>
      <x:c r="L57" s="20" t="n">
        <x:v>0</x:v>
      </x:c>
      <x:c r="M57" s="20" t="n">
        <x:v>0</x:v>
      </x:c>
      <x:c r="N57" s="1"/>
      <x:c r="O57" s="1"/>
    </x:row>
    <x:row r="58" ht="21" customHeight="1">
      <x:c r="A58" s="1"/>
      <x:c r="B58" s="1"/>
      <x:c r="C58" s="1" t="str">
        <x:v>Upside</x:v>
      </x:c>
      <x:c r="D58" s="2"/>
      <x:c r="E58" s="2"/>
      <x:c r="F58" s="2"/>
      <x:c r="G58" s="2"/>
      <x:c r="H58" s="20" t="n">
        <x:v>0</x:v>
      </x:c>
      <x:c r="I58" s="2"/>
      <x:c r="J58" s="20" t="n">
        <x:v>0.0025</x:v>
      </x:c>
      <x:c r="K58" s="20" t="n">
        <x:v>0</x:v>
      </x:c>
      <x:c r="L58" s="20" t="n">
        <x:v>0</x:v>
      </x:c>
      <x:c r="M58" s="20" t="n">
        <x:v>0</x:v>
      </x:c>
      <x:c r="N58" s="1"/>
      <x:c r="O58" s="1"/>
    </x:row>
    <x:row r="59" ht="21" customHeight="1">
      <x:c r="A59" s="1"/>
      <x:c r="B59" s="1"/>
      <x:c r="C59" s="1" t="str">
        <x:v>Downside</x:v>
      </x:c>
      <x:c r="D59" s="2"/>
      <x:c r="E59" s="2"/>
      <x:c r="F59" s="2"/>
      <x:c r="G59" s="2"/>
      <x:c r="H59" s="20" t="n">
        <x:v>0</x:v>
      </x:c>
      <x:c r="I59" s="2"/>
      <x:c r="J59" s="20" t="n">
        <x:v>0.015</x:v>
      </x:c>
      <x:c r="K59" s="20" t="n">
        <x:v>0.01</x:v>
      </x:c>
      <x:c r="L59" s="20" t="n">
        <x:v>0.005</x:v>
      </x:c>
      <x:c r="M59" s="20" t="n">
        <x:v>0</x:v>
      </x:c>
      <x:c r="N59" s="1"/>
      <x:c r="O59" s="1"/>
    </x:row>
    <x:row r="60" ht="21" customHeight="1">
      <x:c r="A60" s="1"/>
      <x:c r="B60" s="1"/>
      <x:c r="C60" s="1" t="str">
        <x:v>Zero synergy</x:v>
      </x:c>
      <x:c r="D60" s="2"/>
      <x:c r="E60" s="2"/>
      <x:c r="F60" s="2"/>
      <x:c r="G60" s="2"/>
      <x:c r="H60" s="20" t="n">
        <x:v>0</x:v>
      </x:c>
      <x:c r="I60" s="2"/>
      <x:c r="J60" s="20" t="n">
        <x:v>0.005</x:v>
      </x:c>
      <x:c r="K60" s="20" t="n">
        <x:v>0.0025</x:v>
      </x:c>
      <x:c r="L60" s="20" t="n">
        <x:v>0</x:v>
      </x:c>
      <x:c r="M60" s="20" t="n">
        <x:v>0</x:v>
      </x:c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21" t="str">
        <x:v>Integration delay, years / active</x:v>
      </x:c>
      <x:c r="D62" s="22"/>
      <x:c r="E62" s="22"/>
      <x:c r="F62" s="22"/>
      <x:c r="G62" s="22"/>
      <x:c r="H62" s="25" t="n">
        <x:f>CHOOSE($D$3,H63,H64,H65,H66)</x:f>
        <x:v>0</x:v>
      </x:c>
      <x:c r="I62" s="22"/>
      <x:c r="J62" s="25" t="n">
        <x:f>CHOOSE($D$3,J63,J64,J65,J66)</x:f>
        <x:v>0</x:v>
      </x:c>
      <x:c r="K62" s="25" t="n">
        <x:f>CHOOSE($D$3,K63,K64,K65,K66)</x:f>
        <x:v>0</x:v>
      </x:c>
      <x:c r="L62" s="25" t="n">
        <x:f>CHOOSE($D$3,L63,L64,L65,L66)</x:f>
        <x:v>0</x:v>
      </x:c>
      <x:c r="M62" s="25" t="n">
        <x:f>CHOOSE($D$3,M63,M64,M65,M66)</x:f>
        <x:v>0</x:v>
      </x:c>
      <x:c r="N62" s="1"/>
      <x:c r="O62" s="1"/>
    </x:row>
    <x:row r="63" ht="21" customHeight="1">
      <x:c r="A63" s="1"/>
      <x:c r="B63" s="1"/>
      <x:c r="C63" s="1" t="str">
        <x:v>Base</x:v>
      </x:c>
      <x:c r="D63" s="2"/>
      <x:c r="E63" s="2"/>
      <x:c r="F63" s="2"/>
      <x:c r="G63" s="2"/>
      <x:c r="H63" s="19" t="n">
        <x:v>0</x:v>
      </x:c>
      <x:c r="I63" s="2"/>
      <x:c r="J63" s="19" t="n">
        <x:v>0</x:v>
      </x:c>
      <x:c r="K63" s="19" t="n">
        <x:v>0</x:v>
      </x:c>
      <x:c r="L63" s="19" t="n">
        <x:v>0</x:v>
      </x:c>
      <x:c r="M63" s="19" t="n">
        <x:v>0</x:v>
      </x:c>
      <x:c r="N63" s="1"/>
      <x:c r="O63" s="1"/>
    </x:row>
    <x:row r="64" ht="21" customHeight="1">
      <x:c r="A64" s="1"/>
      <x:c r="B64" s="1"/>
      <x:c r="C64" s="1" t="str">
        <x:v>Upside</x:v>
      </x:c>
      <x:c r="D64" s="2"/>
      <x:c r="E64" s="2"/>
      <x:c r="F64" s="2"/>
      <x:c r="G64" s="2"/>
      <x:c r="H64" s="19" t="n">
        <x:v>0</x:v>
      </x:c>
      <x:c r="I64" s="2"/>
      <x:c r="J64" s="19" t="n">
        <x:v>0</x:v>
      </x:c>
      <x:c r="K64" s="19" t="n">
        <x:v>0</x:v>
      </x:c>
      <x:c r="L64" s="19" t="n">
        <x:v>0</x:v>
      </x:c>
      <x:c r="M64" s="19" t="n">
        <x:v>0</x:v>
      </x:c>
      <x:c r="N64" s="1"/>
      <x:c r="O64" s="1"/>
    </x:row>
    <x:row r="65" ht="21" customHeight="1">
      <x:c r="A65" s="1"/>
      <x:c r="B65" s="1"/>
      <x:c r="C65" s="1" t="str">
        <x:v>Downside</x:v>
      </x:c>
      <x:c r="D65" s="2"/>
      <x:c r="E65" s="2"/>
      <x:c r="F65" s="2"/>
      <x:c r="G65" s="2"/>
      <x:c r="H65" s="19" t="n">
        <x:v>0</x:v>
      </x:c>
      <x:c r="I65" s="2"/>
      <x:c r="J65" s="19" t="n">
        <x:v>1</x:v>
      </x:c>
      <x:c r="K65" s="19" t="n">
        <x:v>1</x:v>
      </x:c>
      <x:c r="L65" s="19" t="n">
        <x:v>1</x:v>
      </x:c>
      <x:c r="M65" s="19" t="n">
        <x:v>1</x:v>
      </x:c>
      <x:c r="N65" s="1"/>
      <x:c r="O65" s="1"/>
    </x:row>
    <x:row r="66" ht="21" customHeight="1">
      <x:c r="A66" s="1"/>
      <x:c r="B66" s="1"/>
      <x:c r="C66" s="1" t="str">
        <x:v>Zero synergy</x:v>
      </x:c>
      <x:c r="D66" s="2"/>
      <x:c r="E66" s="2"/>
      <x:c r="F66" s="2"/>
      <x:c r="G66" s="2"/>
      <x:c r="H66" s="19" t="n">
        <x:v>0</x:v>
      </x:c>
      <x:c r="I66" s="2"/>
      <x:c r="J66" s="19" t="n">
        <x:v>0</x:v>
      </x:c>
      <x:c r="K66" s="19" t="n">
        <x:v>0</x:v>
      </x:c>
      <x:c r="L66" s="19" t="n">
        <x:v>0</x:v>
      </x:c>
      <x:c r="M66" s="19" t="n">
        <x:v>0</x:v>
      </x:c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4" customHeight="1">
      <x:c r="A68" s="1"/>
      <x:c r="B68" s="1"/>
      <x:c r="C68" s="16" t="str">
        <x:v>Global assumptions and market inputs</x:v>
      </x:c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"/>
      <x:c r="O68" s="1"/>
    </x:row>
    <x:row r="69" ht="31" customHeight="1">
      <x:c r="A69" s="1"/>
      <x:c r="B69" s="1"/>
      <x:c r="C69" s="39" t="str">
        <x:v>Normalised tax rate (assumption)</x:v>
      </x:c>
      <x:c r="D69" s="20" t="n">
        <x:v>0.24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2" t="str">
        <x:v>Assumptions unless a source is named. USD millions and shares in millions. Blue cells are editable.</x:v>
      </x:c>
    </x:row>
    <x:row r="70" ht="31" customHeight="1">
      <x:c r="A70" s="1"/>
      <x:c r="B70" s="1"/>
      <x:c r="C70" s="39" t="str">
        <x:v>SBC / revenue (recurring expense)</x:v>
      </x:c>
      <x:c r="D70" s="20" t="n">
        <x:v>0.012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31" customHeight="1">
      <x:c r="A71" s="1"/>
      <x:c r="B71" s="1"/>
      <x:c r="C71" s="39" t="str">
        <x:v>Capex / revenue</x:v>
      </x:c>
      <x:c r="D71" s="20" t="n">
        <x:v>0.018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31" customHeight="1">
      <x:c r="A72" s="1"/>
      <x:c r="B72" s="1"/>
      <x:c r="C72" s="39" t="str">
        <x:v>Depreciation / opening PP&amp;E, annual</x:v>
      </x:c>
      <x:c r="D72" s="20" t="n">
        <x:v>0.065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31" customHeight="1">
      <x:c r="A73" s="1"/>
      <x:c r="B73" s="1"/>
      <x:c r="C73" s="39" t="str">
        <x:v>Receivable days / revenue</x:v>
      </x:c>
      <x:c r="D73" s="11" t="n">
        <x:v>80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31" customHeight="1">
      <x:c r="A74" s="1"/>
      <x:c r="B74" s="1"/>
      <x:c r="C74" s="39" t="str">
        <x:v>Inventory days / cost of revenue</x:v>
      </x:c>
      <x:c r="D74" s="11" t="n">
        <x:v>85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31" customHeight="1">
      <x:c r="A75" s="1"/>
      <x:c r="B75" s="1"/>
      <x:c r="C75" s="39" t="str">
        <x:v>Payable days / cost of revenue</x:v>
      </x:c>
      <x:c r="D75" s="11" t="n">
        <x:v>45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31" customHeight="1">
      <x:c r="A76" s="1"/>
      <x:c r="B76" s="1"/>
      <x:c r="C76" s="39" t="str">
        <x:v>Prepaids / annualised revenue</x:v>
      </x:c>
      <x:c r="D76" s="20" t="n">
        <x:v>0.02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31" customHeight="1">
      <x:c r="A77" s="1"/>
      <x:c r="B77" s="1"/>
      <x:c r="C77" s="39" t="str">
        <x:v>Operating accruals / annualised revenue</x:v>
      </x:c>
      <x:c r="D77" s="20" t="n">
        <x:v>0.055</x:v>
      </x:c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31" customHeight="1">
      <x:c r="A78" s="1"/>
      <x:c r="B78" s="1"/>
      <x:c r="C78" s="39" t="str">
        <x:v>Promotional accruals / annualised revenue</x:v>
      </x:c>
      <x:c r="D78" s="20" t="n">
        <x:v>0.14</x:v>
      </x:c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31" customHeight="1">
      <x:c r="A79" s="1"/>
      <x:c r="B79" s="1"/>
      <x:c r="C79" s="39" t="str">
        <x:v>Minimum unrestricted cash</x:v>
      </x:c>
      <x:c r="D79" s="11" t="n">
        <x:v>200</x:v>
      </x:c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31" customHeight="1">
      <x:c r="A80" s="1"/>
      <x:c r="B80" s="1"/>
      <x:c r="C80" s="39" t="str">
        <x:v>Excess cash sweep to debt</x:v>
      </x:c>
      <x:c r="D80" s="20" t="n">
        <x:v>0.5</x:v>
      </x:c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31" customHeight="1">
      <x:c r="A81" s="1"/>
      <x:c r="B81" s="1"/>
      <x:c r="C81" s="39" t="str">
        <x:v>Target debt cash interest, post-July refinancing assumption</x:v>
      </x:c>
      <x:c r="D81" s="20" t="n">
        <x:v>0.058</x:v>
      </x:c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31" customHeight="1">
      <x:c r="A82" s="1"/>
      <x:c r="B82" s="1"/>
      <x:c r="C82" s="39" t="str">
        <x:v>Interest on opening unrestricted cash</x:v>
      </x:c>
      <x:c r="D82" s="20" t="n">
        <x:v>0.035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31" customHeight="1">
      <x:c r="A83" s="1"/>
      <x:c r="B83" s="1"/>
      <x:c r="C83" s="39" t="str">
        <x:v>US Treasury 10-year at 31 Aug 2026 / S18</x:v>
      </x:c>
      <x:c r="D83" s="20" t="n">
        <x:v>0.0475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31" customHeight="1">
      <x:c r="A84" s="1"/>
      <x:c r="B84" s="1"/>
      <x:c r="C84" s="39" t="str">
        <x:v>Levered beta (judgement, not regression)</x:v>
      </x:c>
      <x:c r="D84" s="11" t="n">
        <x:v>1.2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31" customHeight="1">
      <x:c r="A85" s="1"/>
      <x:c r="B85" s="1"/>
      <x:c r="C85" s="39" t="str">
        <x:v>Equity risk premium (judgement)</x:v>
      </x:c>
      <x:c r="D85" s="20" t="n">
        <x:v>0.05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31" customHeight="1">
      <x:c r="A86" s="1"/>
      <x:c r="B86" s="1"/>
      <x:c r="C86" s="39" t="str">
        <x:v>Target debt / total capital</x:v>
      </x:c>
      <x:c r="D86" s="20" t="n">
        <x:v>0.05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31" customHeight="1">
      <x:c r="A87" s="1"/>
      <x:c r="B87" s="1"/>
      <x:c r="C87" s="39" t="str">
        <x:v>WACC pre-tax debt cost</x:v>
      </x:c>
      <x:c r="D87" s="20" t="n">
        <x:v>0.058</x:v>
      </x:c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31" customHeight="1">
      <x:c r="A88" s="1"/>
      <x:c r="B88" s="1"/>
      <x:c r="C88" s="39" t="str">
        <x:v>Terminal growth</x:v>
      </x:c>
      <x:c r="D88" s="20" t="n">
        <x:v>0.025</x:v>
      </x:c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31" customHeight="1">
      <x:c r="A89" s="1"/>
      <x:c r="B89" s="1"/>
      <x:c r="C89" s="39" t="str">
        <x:v>Terminal EBITDA exit multiple cross-check</x:v>
      </x:c>
      <x:c r="D89" s="11" t="n">
        <x:v>16</x:v>
      </x:c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31" customHeight="1">
      <x:c r="A90" s="1"/>
      <x:c r="B90" s="1"/>
      <x:c r="C90" s="39" t="str">
        <x:v>CELH close 31 Aug 2026 / S14, S25</x:v>
      </x:c>
      <x:c r="D90" s="11" t="n">
        <x:v>31.45</x:v>
      </x:c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31" customHeight="1">
      <x:c r="A91" s="1"/>
      <x:c r="B91" s="1"/>
      <x:c r="C91" s="39" t="str">
        <x:v>Illustrative offer premium</x:v>
      </x:c>
      <x:c r="D91" s="20" t="n">
        <x:v>0.25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31" customHeight="1">
      <x:c r="A92" s="1"/>
      <x:c r="B92" s="1"/>
      <x:c r="C92" s="39" t="str">
        <x:v>PepsiCo cash funding proportion</x:v>
      </x:c>
      <x:c r="D92" s="20" t="n">
        <x:v>0.2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31" customHeight="1">
      <x:c r="A93" s="1"/>
      <x:c r="B93" s="1"/>
      <x:c r="C93" s="39" t="str">
        <x:v>New debt funding proportion</x:v>
      </x:c>
      <x:c r="D93" s="20" t="n">
        <x:v>0.6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31" customHeight="1">
      <x:c r="A94" s="1"/>
      <x:c r="B94" s="1"/>
      <x:c r="C94" s="39" t="str">
        <x:v>Acquisition debt annual interest</x:v>
      </x:c>
      <x:c r="D94" s="20" t="n">
        <x:v>0.055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31" customHeight="1">
      <x:c r="A95" s="1"/>
      <x:c r="B95" s="1"/>
      <x:c r="C95" s="39" t="str">
        <x:v>Transaction fee / remaining equity consideration</x:v>
      </x:c>
      <x:c r="D95" s="20" t="n">
        <x:v>0.01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31" customHeight="1">
      <x:c r="A96" s="1"/>
      <x:c r="B96" s="1"/>
      <x:c r="C96" s="39" t="str">
        <x:v>Financing fee / new debt</x:v>
      </x:c>
      <x:c r="D96" s="20" t="n">
        <x:v>0.015</x:v>
      </x:c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31" customHeight="1">
      <x:c r="A97" s="1"/>
      <x:c r="B97" s="1"/>
      <x:c r="C97" s="39" t="str">
        <x:v>Debt fee amortisation life, years</x:v>
      </x:c>
      <x:c r="D97" s="11" t="n">
        <x:v>5</x:v>
      </x:c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31" customHeight="1">
      <x:c r="A98" s="1"/>
      <x:c r="B98" s="1"/>
      <x:c r="C98" s="39" t="str">
        <x:v>Incremental customer / brand asset value, due diligence assumption</x:v>
      </x:c>
      <x:c r="D98" s="11" t="n">
        <x:v>1000</x:v>
      </x:c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31" customHeight="1">
      <x:c r="A99" s="1"/>
      <x:c r="B99" s="1"/>
      <x:c r="C99" s="39" t="str">
        <x:v>Incremental intangible amortisation life</x:v>
      </x:c>
      <x:c r="D99" s="11" t="n">
        <x:v>15</x:v>
      </x:c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31" customHeight="1">
      <x:c r="A100" s="1"/>
      <x:c r="B100" s="1"/>
      <x:c r="C100" s="39" t="str">
        <x:v>Acquired inventory uplift expensed in FY2027</x:v>
      </x:c>
      <x:c r="D100" s="11" t="n">
        <x:v>25</x:v>
      </x:c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31" customHeight="1">
      <x:c r="A101" s="1"/>
      <x:c r="B101" s="1"/>
      <x:c r="C101" s="39" t="str">
        <x:v>FY2028 EPS accretion threshold</x:v>
      </x:c>
      <x:c r="D101" s="11" t="n">
        <x:v>0</x:v>
      </x:c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31" customHeight="1">
      <x:c r="A102" s="1"/>
      <x:c r="B102" s="1"/>
      <x:c r="C102" s="39" t="str">
        <x:v>Revenue synergy contribution margin</x:v>
      </x:c>
      <x:c r="D102" s="20" t="n">
        <x:v>0.3</x:v>
      </x:c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31" customHeight="1">
      <x:c r="A103" s="1"/>
      <x:c r="B103" s="1"/>
      <x:c r="C103" s="39" t="str">
        <x:v>Synergy capex / incremental revenue</x:v>
      </x:c>
      <x:c r="D103" s="20" t="n">
        <x:v>0.01</x:v>
      </x:c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31" customHeight="1">
      <x:c r="A104" s="1"/>
      <x:c r="B104" s="1"/>
      <x:c r="C104" s="39" t="str">
        <x:v>Synergy net working capital / incremental revenue</x:v>
      </x:c>
      <x:c r="D104" s="20" t="n">
        <x:v>0.1</x:v>
      </x:c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31" customHeight="1">
      <x:c r="A105" s="1"/>
      <x:c r="B105" s="1"/>
      <x:c r="C105" s="39" t="str">
        <x:v>PepsiCo annual NI/EBITDA growth after 2026 proxy</x:v>
      </x:c>
      <x:c r="D105" s="20" t="n">
        <x:v>0.05</x:v>
      </x:c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31" customHeight="1">
      <x:c r="A106" s="1"/>
      <x:c r="B106" s="1"/>
      <x:c r="C106" s="39" t="str">
        <x:v>PEP close 31 Aug 2026 / S15</x:v>
      </x:c>
      <x:c r="D106" s="11" t="n">
        <x:v>140.34</x:v>
      </x:c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31" customHeight="1">
      <x:c r="A107" s="1"/>
      <x:c r="B107" s="1"/>
      <x:c r="C107" s="39" t="str">
        <x:v>PepsiCo LTM NI: 8240 + 5308 - 3097 / S08 S09</x:v>
      </x:c>
      <x:c r="D107" s="11" t="n">
        <x:v>10451</x:v>
      </x:c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31" customHeight="1">
      <x:c r="A108" s="1"/>
      <x:c r="B108" s="1"/>
      <x:c r="C108" s="39" t="str">
        <x:v>PepsiCo H1 2026 diluted shares / S09</x:v>
      </x:c>
      <x:c r="D108" s="11" t="n">
        <x:v>1370</x:v>
      </x:c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31" customHeight="1">
      <x:c r="A109" s="1"/>
      <x:c r="B109" s="1"/>
      <x:c r="C109" s="39" t="str">
        <x:v>PepsiCo LTM EBIT + D&amp;A / S08 S09</x:v>
      </x:c>
      <x:c r="D109" s="11" t="n">
        <x:v>17961</x:v>
      </x:c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31" customHeight="1">
      <x:c r="A110" s="1"/>
      <x:c r="B110" s="1"/>
      <x:c r="C110" s="39" t="str">
        <x:v>PepsiCo latest total borrowings / S09</x:v>
      </x:c>
      <x:c r="D110" s="11" t="n">
        <x:v>53214</x:v>
      </x:c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31" customHeight="1">
      <x:c r="A111" s="1"/>
      <x:c r="B111" s="1"/>
      <x:c r="C111" s="39" t="str">
        <x:v>PepsiCo latest unrestricted cash / S09</x:v>
      </x:c>
      <x:c r="D111" s="11" t="n">
        <x:v>10251</x:v>
      </x:c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31" customHeight="1">
      <x:c r="A112" s="1"/>
      <x:c r="B112" s="1"/>
      <x:c r="C112" s="39" t="str">
        <x:v>PepsiCo FY2025 gross interest / S08; future proxy</x:v>
      </x:c>
      <x:c r="D112" s="11" t="n">
        <x:v>1840</x:v>
      </x:c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31" customHeight="1">
      <x:c r="A113" s="1"/>
      <x:c r="B113" s="1"/>
      <x:c r="C113" s="39" t="str">
        <x:v>Existing PepsiCo preferred income proxy, coupons before tax</x:v>
      </x:c>
      <x:c r="D113" s="11" t="n">
        <x:v>56.75</x:v>
      </x:c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2" t="str">
        <x:v>Public filings do not isolate recurring preferred income. Coupon proxy removed after tax. OCI fair-value changes excluded from recurring EPS.</x:v>
      </x:c>
    </x:row>
    <x:row r="114" ht="31" customHeight="1">
      <x:c r="A114" s="1"/>
      <x:c r="B114" s="1"/>
      <x:c r="C114" s="39" t="str">
        <x:v>Accrued litigation payment in H2 2026, timing assumption</x:v>
      </x:c>
      <x:c r="D114" s="11" t="n">
        <x:v>85</x:v>
      </x:c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31" customHeight="1">
      <x:c r="A115" s="1"/>
      <x:c r="B115" s="1"/>
      <x:c r="C115" s="39" t="str">
        <x:v>Annual deferred revenue release proxy / S03</x:v>
      </x:c>
      <x:c r="D115" s="11" t="n">
        <x:v>31.46</x:v>
      </x:c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31" customHeight="1">
      <x:c r="A116" s="1"/>
      <x:c r="B116" s="1"/>
      <x:c r="C116" s="39" t="str">
        <x:v>Annual deferred customer cost amortisation / S03</x:v>
      </x:c>
      <x:c r="D116" s="11" t="n">
        <x:v>49.472</x:v>
      </x:c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31" customHeight="1">
      <x:c r="A117" s="1"/>
      <x:c r="B117" s="1"/>
      <x:c r="C117" s="39" t="str">
        <x:v>Annual DTA run-off (cash-tax assumption)</x:v>
      </x:c>
      <x:c r="D117" s="11" t="n">
        <x:v>5</x:v>
      </x:c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31" customHeight="1">
      <x:c r="A118" s="1"/>
      <x:c r="B118" s="1"/>
      <x:c r="C118" s="39" t="str">
        <x:v>Existing debt cost amortisation, annual proxy</x:v>
      </x:c>
      <x:c r="D118" s="11" t="n">
        <x:v>2.8</x:v>
      </x:c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31" customHeight="1">
      <x:c r="A119" s="1"/>
      <x:c r="B119" s="1"/>
      <x:c r="C119" s="39" t="str">
        <x:v>Annual contractual term amortisation / S03</x:v>
      </x:c>
      <x:c r="D119" s="11" t="n">
        <x:v>7</x:v>
      </x:c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31" customHeight="1">
      <x:c r="A120" s="1"/>
      <x:c r="B120" s="1"/>
      <x:c r="C120" s="39" t="str">
        <x:v>Unvested RSU/PSU shares in millions / S03</x:v>
      </x:c>
      <x:c r="D120" s="11" t="n">
        <x:v>2.149</x:v>
      </x:c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2" t="str">
        <x:v>Assume all 2.149m awards cash out at offer, including target PSUs. Unissued ESPP pool excluded. Award due diligence required.</x:v>
      </x:c>
    </x:row>
    <x:row r="121" ht="31" customHeight="1">
      <x:c r="A121" s="1"/>
      <x:c r="B121" s="1"/>
      <x:c r="C121" s="39" t="str">
        <x:v>Latest common outstanding 31 Jul 2026 / S03</x:v>
      </x:c>
      <x:c r="D121" s="11" t="n">
        <x:v>253.035047</x:v>
      </x:c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31" customHeight="1">
      <x:c r="A122" s="1"/>
      <x:c r="B122" s="1"/>
      <x:c r="C122" s="39" t="str">
        <x:v>Series A liquidation preference / S03</x:v>
      </x:c>
      <x:c r="D122" s="11" t="n">
        <x:v>550</x:v>
      </x:c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31" customHeight="1">
      <x:c r="A123" s="1"/>
      <x:c r="B123" s="1"/>
      <x:c r="C123" s="39" t="str">
        <x:v>Series B liquidation preference / S03</x:v>
      </x:c>
      <x:c r="D123" s="11" t="n">
        <x:v>585</x:v>
      </x:c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31" customHeight="1">
      <x:c r="A124" s="1"/>
      <x:c r="B124" s="1"/>
      <x:c r="C124" s="39" t="str">
        <x:v>Series A conversion price / S03</x:v>
      </x:c>
      <x:c r="D124" s="11" t="n">
        <x:v>25</x:v>
      </x:c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31" customHeight="1">
      <x:c r="A125" s="1"/>
      <x:c r="B125" s="1"/>
      <x:c r="C125" s="39" t="str">
        <x:v>Series B conversion price / S03</x:v>
      </x:c>
      <x:c r="D125" s="11" t="n">
        <x:v>51.75</x:v>
      </x:c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31" customHeight="1">
      <x:c r="A126" s="1"/>
      <x:c r="B126" s="1"/>
      <x:c r="C126" s="39" t="str">
        <x:v>Preferred coupon / S03</x:v>
      </x:c>
      <x:c r="D126" s="20" t="n">
        <x:v>0.05</x:v>
      </x:c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31" customHeight="1">
      <x:c r="A127" s="1"/>
      <x:c r="B127" s="1"/>
      <x:c r="C127" s="39" t="str">
        <x:v>No separate PepsiCo common holding identified; preferred only / S06 S07</x:v>
      </x:c>
      <x:c r="D127" s="11" t="n">
        <x:v>0</x:v>
      </x:c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31" customHeight="1">
      <x:c r="A128" s="1"/>
      <x:c r="B128" s="1"/>
      <x:c r="C128" s="39" t="str">
        <x:v>H1 gross term debt / S03</x:v>
      </x:c>
      <x:c r="D128" s="11" t="n">
        <x:v>694.75</x:v>
      </x:c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31" customHeight="1">
      <x:c r="A129" s="1"/>
      <x:c r="B129" s="1"/>
      <x:c r="C129" s="39" t="str">
        <x:v>H1 unamortised term debt costs / S03</x:v>
      </x:c>
      <x:c r="D129" s="11" t="n">
        <x:v>19.9</x:v>
      </x:c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dataValidations count="1">
    <x:dataValidation type="whole" operator="between" sqref="D3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Integrated financial statements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29" t="str">
        <x:v>Net revenue</x:v>
      </x:c>
      <x:c r="D7" s="30" t="n">
        <x:f>'History'!D7</x:f>
        <x:v>1318.014</x:v>
      </x:c>
      <x:c r="E7" s="30" t="n">
        <x:f>'History'!E7</x:f>
        <x:v>1355.63</x:v>
      </x:c>
      <x:c r="F7" s="30" t="n">
        <x:f>'History'!F7</x:f>
        <x:v>2515.269</x:v>
      </x:c>
      <x:c r="G7" s="30" t="n">
        <x:f>'History'!G7</x:f>
        <x:v>1600.54</x:v>
      </x:c>
      <x:c r="H7" s="30" t="n">
        <x:f>'Operations'!H10</x:f>
        <x:v>1633.167</x:v>
      </x:c>
      <x:c r="I7" s="31" t="n">
        <x:f>G7+H7</x:f>
        <x:v>3233.707</x:v>
      </x:c>
      <x:c r="J7" s="30" t="n">
        <x:f>'Operations'!J10</x:f>
        <x:v>3621.569</x:v>
      </x:c>
      <x:c r="K7" s="30" t="n">
        <x:f>'Operations'!K10</x:f>
        <x:v>3983.3637020000006</x:v>
      </x:c>
      <x:c r="L7" s="30" t="n">
        <x:f>'Operations'!L10</x:f>
        <x:v>4292.56076868</x:v>
      </x:c>
      <x:c r="M7" s="30" t="n">
        <x:f>'Operations'!M10</x:f>
        <x:v>4565.735473644001</x:v>
      </x:c>
      <x:c r="N7" s="1"/>
      <x:c r="O7" s="1"/>
    </x:row>
    <x:row r="8" ht="21" customHeight="1">
      <x:c r="A8" s="1"/>
      <x:c r="B8" s="1"/>
      <x:c r="C8" s="1" t="str">
        <x:v>Cost of revenue</x:v>
      </x:c>
      <x:c r="D8" s="6" t="n">
        <x:f>'History'!D8</x:f>
        <x:v>684.875</x:v>
      </x:c>
      <x:c r="E8" s="6" t="n">
        <x:f>'History'!E8</x:f>
        <x:v>675.423</x:v>
      </x:c>
      <x:c r="F8" s="6" t="n">
        <x:f>'History'!F8</x:f>
        <x:v>1247.936</x:v>
      </x:c>
      <x:c r="G8" s="6" t="n">
        <x:f>'History'!G8</x:f>
        <x:v>828.785</x:v>
      </x:c>
      <x:c r="H8" s="6" t="n">
        <x:f>'Operations'!H13</x:f>
        <x:v>832.91517</x:v>
      </x:c>
      <x:c r="I8" s="2" t="n">
        <x:f>G8+H8</x:f>
        <x:v>1661.70017</x:v>
      </x:c>
      <x:c r="J8" s="6" t="n">
        <x:f>'Operations'!J13</x:f>
        <x:v>1810.7845</x:v>
      </x:c>
      <x:c r="K8" s="6" t="n">
        <x:f>'Operations'!K13</x:f>
        <x:v>1971.7650324900003</x:v>
      </x:c>
      <x:c r="L8" s="6" t="n">
        <x:f>'Operations'!L13</x:f>
        <x:v>2103.3547766532</x:v>
      </x:c>
      <x:c r="M8" s="6" t="n">
        <x:f>'Operations'!M13</x:f>
        <x:v>2237.2103820855605</x:v>
      </x:c>
      <x:c r="N8" s="1"/>
      <x:c r="O8" s="1"/>
    </x:row>
    <x:row r="9" ht="21" customHeight="1">
      <x:c r="A9" s="1"/>
      <x:c r="B9" s="1"/>
      <x:c r="C9" s="1" t="str">
        <x:v>Gross profit</x:v>
      </x:c>
      <x:c r="D9" s="6" t="n">
        <x:f>'History'!D9</x:f>
        <x:v>633.1389999999999</x:v>
      </x:c>
      <x:c r="E9" s="6" t="n">
        <x:f>'History'!E9</x:f>
        <x:v>680.2070000000001</x:v>
      </x:c>
      <x:c r="F9" s="6" t="n">
        <x:f>'History'!F9</x:f>
        <x:v>1267.3329999999999</x:v>
      </x:c>
      <x:c r="G9" s="6" t="n">
        <x:f>'History'!G9</x:f>
        <x:v>771.755</x:v>
      </x:c>
      <x:c r="H9" s="6" t="n">
        <x:f>'Operations'!H12</x:f>
        <x:v>800.2518299999999</x:v>
      </x:c>
      <x:c r="I9" s="2" t="n">
        <x:f>G9+H9</x:f>
        <x:v>1572.0068299999998</x:v>
      </x:c>
      <x:c r="J9" s="6" t="n">
        <x:f>'Operations'!J12</x:f>
        <x:v>1810.7845</x:v>
      </x:c>
      <x:c r="K9" s="6" t="n">
        <x:f>'Operations'!K12</x:f>
        <x:v>2011.5986695100003</x:v>
      </x:c>
      <x:c r="L9" s="6" t="n">
        <x:f>'Operations'!L12</x:f>
        <x:v>2189.2059920268002</x:v>
      </x:c>
      <x:c r="M9" s="6" t="n">
        <x:f>'Operations'!M12</x:f>
        <x:v>2328.5250915584406</x:v>
      </x:c>
      <x:c r="N9" s="1"/>
      <x:c r="O9" s="1"/>
    </x:row>
    <x:row r="10" ht="21" customHeight="1">
      <x:c r="A10" s="1"/>
      <x:c r="B10" s="1"/>
      <x:c r="C10" s="1" t="str">
        <x:v>SG&amp;A, SBC and intangible amortisation</x:v>
      </x:c>
      <x:c r="D10" s="6" t="n">
        <x:f>'History'!D10</x:f>
        <x:v>366.773</x:v>
      </x:c>
      <x:c r="E10" s="6" t="n">
        <x:f>'History'!E10</x:f>
        <x:v>524.479</x:v>
      </x:c>
      <x:c r="F10" s="6" t="n">
        <x:f>'History'!F10</x:f>
        <x:v>798.81</x:v>
      </x:c>
      <x:c r="G10" s="6" t="n">
        <x:f>'History'!G10</x:f>
        <x:v>472.22</x:v>
      </x:c>
      <x:c r="H10" s="6" t="n">
        <x:f>SUM('Operations'!H15:H17)</x:f>
        <x:v>469.10476</x:v>
      </x:c>
      <x:c r="I10" s="2" t="n">
        <x:f>G10+H10</x:f>
        <x:v>941.32476</x:v>
      </x:c>
      <x:c r="J10" s="6" t="n">
        <x:f>SUM('Operations'!J15:J17)</x:f>
        <x:v>1008.674768</x:v>
      </x:c>
      <x:c r="K10" s="6" t="n">
        <x:f>SUM('Operations'!K15:K17)</x:f>
        <x:v>1087.0271084340002</x:v>
      </x:c>
      <x:c r="L10" s="6" t="n">
        <x:f>SUM('Operations'!L15:L17)</x:f>
        <x:v>1148.1199213941602</x:v>
      </x:c>
      <x:c r="M10" s="6" t="n">
        <x:f>SUM('Operations'!M15:M17)</x:f>
        <x:v>1193.8862231474402</x:v>
      </x:c>
      <x:c r="N10" s="1"/>
      <x:c r="O10" s="1"/>
    </x:row>
    <x:row r="11" ht="21" customHeight="1">
      <x:c r="A11" s="1"/>
      <x:c r="B11" s="1"/>
      <x:c r="C11" s="1" t="str">
        <x:v>Termination and other one-offs</x:v>
      </x:c>
      <x:c r="D11" s="6" t="n">
        <x:f>'History'!D11</x:f>
        <x:v>0</x:v>
      </x:c>
      <x:c r="E11" s="6" t="n">
        <x:f>'History'!E11</x:f>
        <x:v>0</x:v>
      </x:c>
      <x:c r="F11" s="6" t="n">
        <x:f>'History'!F11</x:f>
        <x:v>327.461</x:v>
      </x:c>
      <x:c r="G11" s="6" t="n">
        <x:f>'History'!G11</x:f>
        <x:v>85.287</x:v>
      </x:c>
      <x:c r="H11" s="6" t="n">
        <x:f>'Operations'!H18</x:f>
        <x:v>0</x:v>
      </x:c>
      <x:c r="I11" s="2" t="n">
        <x:f>G11+H11</x:f>
        <x:v>85.287</x:v>
      </x:c>
      <x:c r="J11" s="6" t="n">
        <x:f>'Operations'!J18</x:f>
        <x:v>0</x:v>
      </x:c>
      <x:c r="K11" s="6" t="n">
        <x:f>'Operations'!K18</x:f>
        <x:v>0</x:v>
      </x:c>
      <x:c r="L11" s="6" t="n">
        <x:f>'Operations'!L18</x:f>
        <x:v>0</x:v>
      </x:c>
      <x:c r="M11" s="6" t="n">
        <x:f>'Operations'!M18</x:f>
        <x:v>0</x:v>
      </x:c>
      <x:c r="N11" s="1"/>
      <x:c r="O11" s="1"/>
    </x:row>
    <x:row r="12" ht="21" customHeight="1">
      <x:c r="A12" s="1"/>
      <x:c r="B12" s="1"/>
      <x:c r="C12" s="29" t="str">
        <x:v>Operating profit</x:v>
      </x:c>
      <x:c r="D12" s="30" t="n">
        <x:f>'History'!D12</x:f>
        <x:v>266.3659999999999</x:v>
      </x:c>
      <x:c r="E12" s="30" t="n">
        <x:f>'History'!E12</x:f>
        <x:v>155.72800000000007</x:v>
      </x:c>
      <x:c r="F12" s="30" t="n">
        <x:f>'History'!F12</x:f>
        <x:v>141.0619999999999</x:v>
      </x:c>
      <x:c r="G12" s="30" t="n">
        <x:f>'History'!G12</x:f>
        <x:v>214.24799999999996</x:v>
      </x:c>
      <x:c r="H12" s="30" t="n">
        <x:f>'Operations'!H20</x:f>
        <x:v>331.1470699999999</x:v>
      </x:c>
      <x:c r="I12" s="31" t="n">
        <x:f>G12+H12</x:f>
        <x:v>545.3950699999999</x:v>
      </x:c>
      <x:c r="J12" s="30" t="n">
        <x:f>'Operations'!J20</x:f>
        <x:v>802.109732</x:v>
      </x:c>
      <x:c r="K12" s="30" t="n">
        <x:f>'Operations'!K20</x:f>
        <x:v>924.5715610760001</x:v>
      </x:c>
      <x:c r="L12" s="30" t="n">
        <x:f>'Operations'!L20</x:f>
        <x:v>1041.08607063264</x:v>
      </x:c>
      <x:c r="M12" s="30" t="n">
        <x:f>'Operations'!M20</x:f>
        <x:v>1134.6388684110004</x:v>
      </x:c>
      <x:c r="N12" s="1"/>
      <x:c r="O12" s="1"/>
    </x:row>
    <x:row r="13" ht="21" customHeight="1">
      <x:c r="A13" s="1"/>
      <x:c r="B13" s="1"/>
      <x:c r="C13" s="1" t="str">
        <x:v>Interest income</x:v>
      </x:c>
      <x:c r="D13" s="6" t="n">
        <x:f>'History'!D13</x:f>
        <x:v>26.629</x:v>
      </x:c>
      <x:c r="E13" s="6" t="n">
        <x:f>'History'!E13</x:f>
        <x:v>39.263</x:v>
      </x:c>
      <x:c r="F13" s="6" t="n">
        <x:f>'History'!F13</x:f>
        <x:v>21.085</x:v>
      </x:c>
      <x:c r="G13" s="6" t="n">
        <x:f>'History'!G13</x:f>
        <x:v>6.67</x:v>
      </x:c>
      <x:c r="H13" s="6" t="n">
        <x:f>'Financing'!H31</x:f>
        <x:v>11.046595000000002</x:v>
      </x:c>
      <x:c r="I13" s="2" t="n">
        <x:f>G13+H13</x:f>
        <x:v>17.716595</x:v>
      </x:c>
      <x:c r="J13" s="6" t="n">
        <x:f>'Financing'!J31</x:f>
        <x:v>17.486228933130143</x:v>
      </x:c>
      <x:c r="K13" s="6" t="n">
        <x:f>'Financing'!K31</x:f>
        <x:v>23.06162814699091</x:v>
      </x:c>
      <x:c r="L13" s="6" t="n">
        <x:f>'Financing'!L31</x:f>
        <x:v>46.33050819065476</x:v>
      </x:c>
      <x:c r="M13" s="6" t="n">
        <x:f>'Financing'!M31</x:f>
        <x:v>73.58162233431929</x:v>
      </x:c>
      <x:c r="N13" s="1"/>
      <x:c r="O13" s="1"/>
    </x:row>
    <x:row r="14" ht="21" customHeight="1">
      <x:c r="A14" s="1"/>
      <x:c r="B14" s="1"/>
      <x:c r="C14" s="1" t="str">
        <x:v>Interest expense</x:v>
      </x:c>
      <x:c r="D14" s="6" t="n">
        <x:f>'History'!D14</x:f>
        <x:v>0</x:v>
      </x:c>
      <x:c r="E14" s="6" t="n">
        <x:f>'History'!E14</x:f>
        <x:v>0</x:v>
      </x:c>
      <x:c r="F14" s="6" t="n">
        <x:f>'History'!F14</x:f>
        <x:v>48.977</x:v>
      </x:c>
      <x:c r="G14" s="6" t="n">
        <x:f>'History'!G14</x:f>
        <x:v>23.409</x:v>
      </x:c>
      <x:c r="H14" s="6" t="n">
        <x:f>'Financing'!H30</x:f>
        <x:v>21.54775</x:v>
      </x:c>
      <x:c r="I14" s="2" t="n">
        <x:f>G14+H14</x:f>
        <x:v>44.95675</x:v>
      </x:c>
      <x:c r="J14" s="6" t="n">
        <x:f>'Financing'!J30</x:f>
        <x:v>41.21532062509863</x:v>
      </x:c>
      <x:c r="K14" s="6" t="n">
        <x:f>'Financing'!K30</x:f>
        <x:v>0</x:v>
      </x:c>
      <x:c r="L14" s="6" t="n">
        <x:f>'Financing'!L30</x:f>
        <x:v>0</x:v>
      </x:c>
      <x:c r="M14" s="6" t="n">
        <x:f>'Financing'!M30</x:f>
        <x:v>0</x:v>
      </x:c>
      <x:c r="N14" s="1"/>
      <x:c r="O14" s="1"/>
    </x:row>
    <x:row r="15" ht="21" customHeight="1">
      <x:c r="A15" s="1"/>
      <x:c r="B15" s="1"/>
      <x:c r="C15" s="1" t="str">
        <x:v>Other income / (expense)</x:v>
      </x:c>
      <x:c r="D15" s="6" t="n">
        <x:f>'History'!D15</x:f>
        <x:v>-1.246</x:v>
      </x:c>
      <x:c r="E15" s="6" t="n">
        <x:f>'History'!E15</x:f>
        <x:v>0.059</x:v>
      </x:c>
      <x:c r="F15" s="6" t="n">
        <x:f>'History'!F15</x:f>
        <x:v>11.863</x:v>
      </x:c>
      <x:c r="G15" s="6" t="n">
        <x:f>'History'!G15</x:f>
        <x:v>9.557</x:v>
      </x:c>
      <x:c r="H15" s="11" t="n">
        <x:v>0</x:v>
      </x:c>
      <x:c r="I15" s="2" t="n">
        <x:f>G15+H15</x:f>
        <x:v>9.557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"/>
      <x:c r="O15" s="1"/>
    </x:row>
    <x:row r="16" ht="21" customHeight="1">
      <x:c r="A16" s="1"/>
      <x:c r="B16" s="1"/>
      <x:c r="C16" s="1" t="str">
        <x:v>Income tax expense</x:v>
      </x:c>
      <x:c r="D16" s="6" t="n">
        <x:f>'History'!D17</x:f>
        <x:v>64.948</x:v>
      </x:c>
      <x:c r="E16" s="6" t="n">
        <x:f>'History'!E17</x:f>
        <x:v>49.976</x:v>
      </x:c>
      <x:c r="F16" s="6" t="n">
        <x:f>'History'!F17</x:f>
        <x:v>17.034</x:v>
      </x:c>
      <x:c r="G16" s="6" t="n">
        <x:f>'History'!G17</x:f>
        <x:v>41.674</x:v>
      </x:c>
      <x:c r="H16" s="6" t="n">
        <x:f>MAX(0,H12+H13-'Financing'!H29+H15)*'Assumptions'!$D$69</x:f>
        <x:v>77.29101959999998</x:v>
      </x:c>
      <x:c r="I16" s="2" t="n">
        <x:f>G16+H16</x:f>
        <x:v>118.96501959999998</x:v>
      </x:c>
      <x:c r="J16" s="6" t="n">
        <x:f>MAX(0,J12+J13-'Financing'!J29+J15)*'Assumptions'!$D$69</x:f>
        <x:v>191.25135367392758</x:v>
      </x:c>
      <x:c r="K16" s="6" t="n">
        <x:f>MAX(0,K12+K13-'Financing'!K29+K15)*'Assumptions'!$D$69</x:f>
        <x:v>227.43196541351782</x:v>
      </x:c>
      <x:c r="L16" s="6" t="n">
        <x:f>MAX(0,L12+L13-'Financing'!L29+L15)*'Assumptions'!$D$69</x:f>
        <x:v>260.9799789175907</x:v>
      </x:c>
      <x:c r="M16" s="6" t="n">
        <x:f>MAX(0,M12+M13-'Financing'!M29+M15)*'Assumptions'!$D$69</x:f>
        <x:v>289.9729177788767</x:v>
      </x:c>
      <x:c r="N16" s="1"/>
      <x:c r="O16" s="12" t="str">
        <x:v>Forecast cash tax before DTA use excludes a tax deduction for existing debt fees. PPA and new acquisition fees use the separate deal tax assumption.</x:v>
      </x:c>
    </x:row>
    <x:row r="17" ht="21" customHeight="1">
      <x:c r="A17" s="1"/>
      <x:c r="B17" s="1"/>
      <x:c r="C17" s="29" t="str">
        <x:v>Net income</x:v>
      </x:c>
      <x:c r="D17" s="30" t="n">
        <x:f>'History'!D18</x:f>
        <x:v>226.801</x:v>
      </x:c>
      <x:c r="E17" s="30" t="n">
        <x:f>'History'!E18</x:f>
        <x:v>145.074</x:v>
      </x:c>
      <x:c r="F17" s="30" t="n">
        <x:f>'History'!F18</x:f>
        <x:v>107.999</x:v>
      </x:c>
      <x:c r="G17" s="30" t="n">
        <x:f>'History'!G18</x:f>
        <x:v>165.392</x:v>
      </x:c>
      <x:c r="H17" s="31" t="n">
        <x:f>H12+H13-H14+H15-H16</x:f>
        <x:v>243.35489539999998</x:v>
      </x:c>
      <x:c r="I17" s="31" t="n">
        <x:f>G17+H17</x:f>
        <x:v>408.74689539999997</x:v>
      </x:c>
      <x:c r="J17" s="31" t="n">
        <x:f>J12+J13-J14+J15-J16</x:f>
        <x:v>587.129286634104</x:v>
      </x:c>
      <x:c r="K17" s="31" t="n">
        <x:f>K12+K13-K14+K15-K16</x:f>
        <x:v>720.2012238094732</x:v>
      </x:c>
      <x:c r="L17" s="31" t="n">
        <x:f>L12+L13-L14+L15-L16</x:f>
        <x:v>826.436599905704</x:v>
      </x:c>
      <x:c r="M17" s="31" t="n">
        <x:f>M12+M13-M14+M15-M16</x:f>
        <x:v>918.2475729664429</x:v>
      </x:c>
      <x:c r="N17" s="1"/>
      <x:c r="O17" s="1"/>
    </x:row>
    <x:row r="18" ht="21" customHeight="1">
      <x:c r="A18" s="1"/>
      <x:c r="B18" s="1"/>
      <x:c r="C18" s="1" t="str">
        <x:v>Preferred dividends</x:v>
      </x:c>
      <x:c r="D18" s="6" t="n">
        <x:f>'History'!D19</x:f>
        <x:v>27.462</x:v>
      </x:c>
      <x:c r="E18" s="6" t="n">
        <x:f>'History'!E19</x:f>
        <x:v>27.5</x:v>
      </x:c>
      <x:c r="F18" s="6" t="n">
        <x:f>'History'!F19</x:f>
        <x:v>37.608</x:v>
      </x:c>
      <x:c r="G18" s="6" t="n">
        <x:f>'History'!G19</x:f>
        <x:v>28.142</x:v>
      </x:c>
      <x:c r="H18" s="6" t="n">
        <x:f>'Financing'!H9</x:f>
        <x:v>28.375</x:v>
      </x:c>
      <x:c r="I18" s="2" t="n">
        <x:f>G18+H18</x:f>
        <x:v>56.516999999999996</x:v>
      </x:c>
      <x:c r="J18" s="6" t="n">
        <x:f>'Financing'!J9</x:f>
        <x:v>56.75</x:v>
      </x:c>
      <x:c r="K18" s="6" t="n">
        <x:f>'Financing'!K9</x:f>
        <x:v>56.75</x:v>
      </x:c>
      <x:c r="L18" s="6" t="n">
        <x:f>'Financing'!L9</x:f>
        <x:v>56.75</x:v>
      </x:c>
      <x:c r="M18" s="6" t="n">
        <x:f>'Financing'!M9</x:f>
        <x:v>56.75</x:v>
      </x:c>
      <x:c r="N18" s="1"/>
      <x:c r="O18" s="1"/>
    </x:row>
    <x:row r="19" ht="21" customHeight="1">
      <x:c r="A19" s="1"/>
      <x:c r="B19" s="1"/>
      <x:c r="C19" s="1" t="str">
        <x:v>Net income after preferred coupon</x:v>
      </x:c>
      <x:c r="D19" s="2" t="n">
        <x:f>D17-D18</x:f>
        <x:v>199.339</x:v>
      </x:c>
      <x:c r="E19" s="2" t="n">
        <x:f>E17-E18</x:f>
        <x:v>117.57400000000001</x:v>
      </x:c>
      <x:c r="F19" s="2" t="n">
        <x:f>F17-F18</x:f>
        <x:v>70.39099999999999</x:v>
      </x:c>
      <x:c r="G19" s="2" t="n">
        <x:f>G17-G18</x:f>
        <x:v>137.25</x:v>
      </x:c>
      <x:c r="H19" s="2" t="n">
        <x:f>H17-H18</x:f>
        <x:v>214.97989539999998</x:v>
      </x:c>
      <x:c r="I19" s="2" t="n">
        <x:f>G19+H19</x:f>
        <x:v>352.2298954</x:v>
      </x:c>
      <x:c r="J19" s="2" t="n">
        <x:f>J17-J18</x:f>
        <x:v>530.379286634104</x:v>
      </x:c>
      <x:c r="K19" s="2" t="n">
        <x:f>K17-K18</x:f>
        <x:v>663.4512238094732</x:v>
      </x:c>
      <x:c r="L19" s="2" t="n">
        <x:f>L17-L18</x:f>
        <x:v>769.686599905704</x:v>
      </x:c>
      <x:c r="M19" s="2" t="n">
        <x:f>M17-M18</x:f>
        <x:v>861.4975729664429</x:v>
      </x:c>
      <x:c r="N19" s="1"/>
      <x:c r="O19" s="1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4" customHeight="1">
      <x:c r="A21" s="1"/>
      <x:c r="B21" s="1"/>
      <x:c r="C21" s="16" t="str">
        <x:v>Cash flow statement</x:v>
      </x:c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"/>
      <x:c r="O21" s="1"/>
    </x:row>
    <x:row r="22" ht="21" customHeight="1">
      <x:c r="A22" s="1"/>
      <x:c r="B22" s="1"/>
      <x:c r="C22" s="1" t="str">
        <x:v>Net income</x:v>
      </x:c>
      <x:c r="D22" s="6" t="n">
        <x:f>'History'!D18</x:f>
        <x:v>226.801</x:v>
      </x:c>
      <x:c r="E22" s="6" t="n">
        <x:f>'History'!E18</x:f>
        <x:v>145.074</x:v>
      </x:c>
      <x:c r="F22" s="6" t="n">
        <x:f>'History'!F18</x:f>
        <x:v>107.999</x:v>
      </x:c>
      <x:c r="G22" s="6" t="n">
        <x:f>'History'!G18</x:f>
        <x:v>165.392</x:v>
      </x:c>
      <x:c r="H22" s="2" t="n">
        <x:f>H17</x:f>
        <x:v>243.35489539999998</x:v>
      </x:c>
      <x:c r="I22" s="2" t="n">
        <x:f>G22+H22</x:f>
        <x:v>408.74689539999997</x:v>
      </x:c>
      <x:c r="J22" s="2" t="n">
        <x:f>J17</x:f>
        <x:v>587.129286634104</x:v>
      </x:c>
      <x:c r="K22" s="2" t="n">
        <x:f>K17</x:f>
        <x:v>720.2012238094732</x:v>
      </x:c>
      <x:c r="L22" s="2" t="n">
        <x:f>L17</x:f>
        <x:v>826.436599905704</x:v>
      </x:c>
      <x:c r="M22" s="2" t="n">
        <x:f>M17</x:f>
        <x:v>918.2475729664429</x:v>
      </x:c>
      <x:c r="N22" s="1"/>
      <x:c r="O22" s="1"/>
    </x:row>
    <x:row r="23" ht="21" customHeight="1">
      <x:c r="A23" s="1"/>
      <x:c r="B23" s="1"/>
      <x:c r="C23" s="1" t="str">
        <x:v>Depreciation and intangible amortisation</x:v>
      </x:c>
      <x:c r="D23" s="6" t="n">
        <x:f>'History'!D26</x:f>
        <x:v>3.226</x:v>
      </x:c>
      <x:c r="E23" s="6" t="n">
        <x:f>'History'!E26</x:f>
        <x:v>7.274</x:v>
      </x:c>
      <x:c r="F23" s="6" t="n">
        <x:f>'History'!F26</x:f>
        <x:v>29.451</x:v>
      </x:c>
      <x:c r="G23" s="6" t="n">
        <x:f>'History'!G26</x:f>
        <x:v>19.238</x:v>
      </x:c>
      <x:c r="H23" s="6" t="n">
        <x:f>'Operations'!H21</x:f>
        <x:v>15.35231</x:v>
      </x:c>
      <x:c r="I23" s="2" t="n">
        <x:f>G23+H23</x:f>
        <x:v>34.59031</x:v>
      </x:c>
      <x:c r="J23" s="6" t="n">
        <x:f>'Operations'!J21</x:f>
        <x:v>32.35769524</x:v>
      </x:c>
      <x:c r="K23" s="6" t="n">
        <x:f>'Operations'!K21</x:f>
        <x:v>35.887200779400004</x:v>
      </x:c>
      <x:c r="L23" s="6" t="n">
        <x:f>'Operations'!L21</x:f>
        <x:v>39.740553260079</x:v>
      </x:c>
      <x:c r="M23" s="6" t="n">
        <x:f>'Operations'!M21</x:f>
        <x:v>27.031198397529465</x:v>
      </x:c>
      <x:c r="N23" s="1"/>
      <x:c r="O23" s="1"/>
    </x:row>
    <x:row r="24" ht="21" customHeight="1">
      <x:c r="A24" s="1"/>
      <x:c r="B24" s="1"/>
      <x:c r="C24" s="1" t="str">
        <x:v>Stock-based compensation</x:v>
      </x:c>
      <x:c r="D24" s="6" t="n">
        <x:f>'History'!D27</x:f>
        <x:v>21.226</x:v>
      </x:c>
      <x:c r="E24" s="6" t="n">
        <x:f>'History'!E27</x:f>
        <x:v>19.591</x:v>
      </x:c>
      <x:c r="F24" s="6" t="n">
        <x:f>'History'!F27</x:f>
        <x:v>28.05</x:v>
      </x:c>
      <x:c r="G24" s="6" t="n">
        <x:f>'History'!G27</x:f>
        <x:v>18.191</x:v>
      </x:c>
      <x:c r="H24" s="6" t="n">
        <x:f>'Operations'!H16</x:f>
        <x:v>19.598004</x:v>
      </x:c>
      <x:c r="I24" s="2" t="n">
        <x:f>G24+H24</x:f>
        <x:v>37.789004</x:v>
      </x:c>
      <x:c r="J24" s="6" t="n">
        <x:f>'Operations'!J16</x:f>
        <x:v>43.458828</x:v>
      </x:c>
      <x:c r="K24" s="6" t="n">
        <x:f>'Operations'!K16</x:f>
        <x:v>47.80036442400001</x:v>
      </x:c>
      <x:c r="L24" s="6" t="n">
        <x:f>'Operations'!L16</x:f>
        <x:v>51.51072922416</x:v>
      </x:c>
      <x:c r="M24" s="6" t="n">
        <x:f>'Operations'!M16</x:f>
        <x:v>54.788825683728014</x:v>
      </x:c>
      <x:c r="N24" s="1"/>
      <x:c r="O24" s="1"/>
    </x:row>
    <x:row r="25" ht="21" customHeight="1">
      <x:c r="A25" s="1"/>
      <x:c r="B25" s="1"/>
      <x:c r="C25" s="1" t="str">
        <x:v>Deferred customer cost amortisation</x:v>
      </x:c>
      <x:c r="D25" s="6" t="n">
        <x:f>'History'!D28</x:f>
        <x:v>14.124</x:v>
      </x:c>
      <x:c r="E25" s="6" t="n">
        <x:f>'History'!E28</x:f>
        <x:v>14.124</x:v>
      </x:c>
      <x:c r="F25" s="6" t="n">
        <x:f>'History'!F28</x:f>
        <x:v>26.326</x:v>
      </x:c>
      <x:c r="G25" s="6" t="n">
        <x:f>'History'!G28</x:f>
        <x:v>24.591</x:v>
      </x:c>
      <x:c r="H25" s="6" t="n">
        <x:f>'CapitalWC'!H21</x:f>
        <x:v>24.736</x:v>
      </x:c>
      <x:c r="I25" s="2" t="n">
        <x:f>G25+H25</x:f>
        <x:v>49.327</x:v>
      </x:c>
      <x:c r="J25" s="6" t="n">
        <x:f>'CapitalWC'!J21</x:f>
        <x:v>49.472</x:v>
      </x:c>
      <x:c r="K25" s="6" t="n">
        <x:f>'CapitalWC'!K21</x:f>
        <x:v>49.472</x:v>
      </x:c>
      <x:c r="L25" s="6" t="n">
        <x:f>'CapitalWC'!L21</x:f>
        <x:v>49.472</x:v>
      </x:c>
      <x:c r="M25" s="6" t="n">
        <x:f>'CapitalWC'!M21</x:f>
        <x:v>49.472</x:v>
      </x:c>
      <x:c r="N25" s="1"/>
      <x:c r="O25" s="1"/>
    </x:row>
    <x:row r="26" ht="21" customHeight="1">
      <x:c r="A26" s="1"/>
      <x:c r="B26" s="1"/>
      <x:c r="C26" s="1" t="str">
        <x:v>Deferred revenue release</x:v>
      </x:c>
      <x:c r="D26" s="2"/>
      <x:c r="E26" s="2"/>
      <x:c r="F26" s="2"/>
      <x:c r="G26" s="2"/>
      <x:c r="H26" s="6" t="n">
        <x:f>-'CapitalWC'!H25</x:f>
        <x:v>-15.73</x:v>
      </x:c>
      <x:c r="I26" s="2" t="n">
        <x:f>G26+H26</x:f>
        <x:v>-15.73</x:v>
      </x:c>
      <x:c r="J26" s="6" t="n">
        <x:f>-'CapitalWC'!J25</x:f>
        <x:v>-31.46</x:v>
      </x:c>
      <x:c r="K26" s="6" t="n">
        <x:f>-'CapitalWC'!K25</x:f>
        <x:v>-31.46</x:v>
      </x:c>
      <x:c r="L26" s="6" t="n">
        <x:f>-'CapitalWC'!L25</x:f>
        <x:v>-31.46</x:v>
      </x:c>
      <x:c r="M26" s="6" t="n">
        <x:f>-'CapitalWC'!M25</x:f>
        <x:v>-31.46</x:v>
      </x:c>
      <x:c r="N26" s="1"/>
      <x:c r="O26" s="12" t="str">
        <x:v>Revenue forecast includes net deferred customer-cost and deferred-revenue amortisation at current run-rate. Cash-flow reversals are explicit.</x:v>
      </x:c>
    </x:row>
    <x:row r="27" ht="21" customHeight="1">
      <x:c r="A27" s="1"/>
      <x:c r="B27" s="1"/>
      <x:c r="C27" s="1" t="str">
        <x:v>Deferred tax expense</x:v>
      </x:c>
      <x:c r="D27" s="6" t="n">
        <x:f>'History'!D29</x:f>
        <x:v>-42.055</x:v>
      </x:c>
      <x:c r="E27" s="6" t="n">
        <x:f>'History'!E29</x:f>
        <x:v>-9.73</x:v>
      </x:c>
      <x:c r="F27" s="6" t="n">
        <x:f>'History'!F29</x:f>
        <x:v>-57.336</x:v>
      </x:c>
      <x:c r="G27" s="6" t="n">
        <x:f>'History'!G29</x:f>
        <x:v>2.692</x:v>
      </x:c>
      <x:c r="H27" s="6" t="n">
        <x:f>'CapitalWC'!H29</x:f>
        <x:v>2.5</x:v>
      </x:c>
      <x:c r="I27" s="2" t="n">
        <x:f>G27+H27</x:f>
        <x:v>5.192</x:v>
      </x:c>
      <x:c r="J27" s="6" t="n">
        <x:f>'CapitalWC'!J29</x:f>
        <x:v>5</x:v>
      </x:c>
      <x:c r="K27" s="6" t="n">
        <x:f>'CapitalWC'!K29</x:f>
        <x:v>5</x:v>
      </x:c>
      <x:c r="L27" s="6" t="n">
        <x:f>'CapitalWC'!L29</x:f>
        <x:v>5</x:v>
      </x:c>
      <x:c r="M27" s="6" t="n">
        <x:f>'CapitalWC'!M29</x:f>
        <x:v>5</x:v>
      </x:c>
      <x:c r="N27" s="1"/>
      <x:c r="O27" s="1"/>
    </x:row>
    <x:row r="28" ht="21" customHeight="1">
      <x:c r="A28" s="1"/>
      <x:c r="B28" s="1"/>
      <x:c r="C28" s="1" t="str">
        <x:v>Debt cost amortisation / write-off</x:v>
      </x:c>
      <x:c r="D28" s="2"/>
      <x:c r="E28" s="2"/>
      <x:c r="F28" s="2"/>
      <x:c r="G28" s="2"/>
      <x:c r="H28" s="6" t="n">
        <x:f>'Financing'!H24-'Financing'!H26</x:f>
        <x:v>1.3999999999999986</x:v>
      </x:c>
      <x:c r="I28" s="2" t="n">
        <x:f>G28+H28</x:f>
        <x:v>1.3999999999999986</x:v>
      </x:c>
      <x:c r="J28" s="6" t="n">
        <x:f>'Financing'!J24-'Financing'!J26</x:f>
        <x:v>18.5</x:v>
      </x:c>
      <x:c r="K28" s="6" t="n">
        <x:f>'Financing'!K24-'Financing'!K26</x:f>
        <x:v>0</x:v>
      </x:c>
      <x:c r="L28" s="6" t="n">
        <x:f>'Financing'!L24-'Financing'!L26</x:f>
        <x:v>0</x:v>
      </x:c>
      <x:c r="M28" s="6" t="n">
        <x:f>'Financing'!M24-'Financing'!M26</x:f>
        <x:v>0</x:v>
      </x:c>
      <x:c r="N28" s="1"/>
      <x:c r="O28" s="1"/>
    </x:row>
    <x:row r="29" ht="21" customHeight="1">
      <x:c r="A29" s="1"/>
      <x:c r="B29" s="1"/>
      <x:c r="C29" s="1" t="str">
        <x:v>Increase in working capital</x:v>
      </x:c>
      <x:c r="D29" s="2"/>
      <x:c r="E29" s="2"/>
      <x:c r="F29" s="2"/>
      <x:c r="G29" s="2"/>
      <x:c r="H29" s="6" t="n">
        <x:f>-'CapitalWC'!H44</x:f>
        <x:v>31.800878493151004</x:v>
      </x:c>
      <x:c r="I29" s="2" t="n">
        <x:f>G29+H29</x:f>
        <x:v>31.800878493151004</x:v>
      </x:c>
      <x:c r="J29" s="6" t="n">
        <x:f>-'CapitalWC'!J44</x:f>
        <x:v>-31.578988424657723</x:v>
      </x:c>
      <x:c r="K29" s="6" t="n">
        <x:f>-'CapitalWC'!K44</x:f>
        <x:v>-33.62509827219185</x:v>
      </x:c>
      <x:c r="L29" s="6" t="n">
        <x:f>-'CapitalWC'!L44</x:f>
        <x:v>-28.080527306145314</x:v>
      </x:c>
      <x:c r="M29" s="6" t="n">
        <x:f>-'CapitalWC'!M44</x:f>
        <x:v>-26.73744201325735</x:v>
      </x:c>
      <x:c r="N29" s="1"/>
      <x:c r="O29" s="1"/>
    </x:row>
    <x:row r="30" ht="21" customHeight="1">
      <x:c r="A30" s="1"/>
      <x:c r="B30" s="1"/>
      <x:c r="C30" s="1" t="str">
        <x:v>Payment of accrued litigation</x:v>
      </x:c>
      <x:c r="D30" s="2"/>
      <x:c r="E30" s="2"/>
      <x:c r="F30" s="2"/>
      <x:c r="G30" s="2"/>
      <x:c r="H30" s="6" t="n">
        <x:f>-'CapitalWC'!H45</x:f>
        <x:v>-85</x:v>
      </x:c>
      <x:c r="I30" s="2" t="n">
        <x:f>G30+H30</x:f>
        <x:v>-85</x:v>
      </x:c>
      <x:c r="J30" s="6" t="n">
        <x:f>-'CapitalWC'!J45</x:f>
        <x:v>0</x:v>
      </x:c>
      <x:c r="K30" s="6" t="n">
        <x:f>-'CapitalWC'!K45</x:f>
        <x:v>0</x:v>
      </x:c>
      <x:c r="L30" s="6" t="n">
        <x:f>-'CapitalWC'!L45</x:f>
        <x:v>0</x:v>
      </x:c>
      <x:c r="M30" s="6" t="n">
        <x:f>-'CapitalWC'!M45</x:f>
        <x:v>0</x:v>
      </x:c>
      <x:c r="N30" s="1"/>
      <x:c r="O30" s="1"/>
    </x:row>
    <x:row r="31" ht="21" customHeight="1">
      <x:c r="A31" s="1"/>
      <x:c r="B31" s="1"/>
      <x:c r="C31" s="1" t="str">
        <x:v>Payment of termination accrual</x:v>
      </x:c>
      <x:c r="D31" s="2"/>
      <x:c r="E31" s="2"/>
      <x:c r="F31" s="2"/>
      <x:c r="G31" s="2"/>
      <x:c r="H31" s="6" t="n">
        <x:f>-'CapitalWC'!H46</x:f>
        <x:v>-8.761</x:v>
      </x:c>
      <x:c r="I31" s="2" t="n">
        <x:f>G31+H31</x:f>
        <x:v>-8.761</x:v>
      </x:c>
      <x:c r="J31" s="6" t="n">
        <x:f>-'CapitalWC'!J46</x:f>
        <x:v>0</x:v>
      </x:c>
      <x:c r="K31" s="6" t="n">
        <x:f>-'CapitalWC'!K46</x:f>
        <x:v>0</x:v>
      </x:c>
      <x:c r="L31" s="6" t="n">
        <x:f>-'CapitalWC'!L46</x:f>
        <x:v>0</x:v>
      </x:c>
      <x:c r="M31" s="6" t="n">
        <x:f>-'CapitalWC'!M46</x:f>
        <x:v>0</x:v>
      </x:c>
      <x:c r="N31" s="1"/>
      <x:c r="O31" s="1"/>
    </x:row>
    <x:row r="32" ht="21" customHeight="1">
      <x:c r="A32" s="1"/>
      <x:c r="B32" s="1"/>
      <x:c r="C32" s="1" t="str">
        <x:v>Other reported cash-flow adjustments</x:v>
      </x:c>
      <x:c r="D32" s="2" t="n">
        <x:f>D33-SUM(D22:D31)</x:f>
        <x:v>-82.10400000000001</x:v>
      </x:c>
      <x:c r="E32" s="2" t="n">
        <x:f>E33-SUM(E22:E31)</x:f>
        <x:v>86.565</x:v>
      </x:c>
      <x:c r="F32" s="2" t="n">
        <x:f>F33-SUM(F22:F31)</x:f>
        <x:v>224.952</x:v>
      </x:c>
      <x:c r="G32" s="2" t="n">
        <x:f>G33-SUM(G22:G31)</x:f>
        <x:v>66.162</x:v>
      </x:c>
      <x:c r="H32" s="11" t="n">
        <x:v>0</x:v>
      </x:c>
      <x:c r="I32" s="2" t="n">
        <x:f>G32+H32</x:f>
        <x:v>66.162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"/>
      <x:c r="O32" s="12" t="str">
        <x:v>Historical only: reported CFO less individually displayed adjustments. Includes all reported working-capital/other items in S01/S03 CF; zero in forecasts.</x:v>
      </x:c>
    </x:row>
    <x:row r="33" ht="21" customHeight="1">
      <x:c r="A33" s="1"/>
      <x:c r="B33" s="1"/>
      <x:c r="C33" s="29" t="str">
        <x:v>Cash flow from operations</x:v>
      </x:c>
      <x:c r="D33" s="30" t="n">
        <x:f>'History'!D32</x:f>
        <x:v>141.218</x:v>
      </x:c>
      <x:c r="E33" s="30" t="n">
        <x:f>'History'!E32</x:f>
        <x:v>262.898</x:v>
      </x:c>
      <x:c r="F33" s="30" t="n">
        <x:f>'History'!F32</x:f>
        <x:v>359.442</x:v>
      </x:c>
      <x:c r="G33" s="30" t="n">
        <x:f>'History'!G32</x:f>
        <x:v>296.266</x:v>
      </x:c>
      <x:c r="H33" s="31" t="n">
        <x:f>SUM(H22:H31)</x:f>
        <x:v>229.25108789315092</x:v>
      </x:c>
      <x:c r="I33" s="31" t="n">
        <x:f>G33+H33</x:f>
        <x:v>525.5170878931509</x:v>
      </x:c>
      <x:c r="J33" s="31" t="n">
        <x:f>SUM(J22:J31)</x:f>
        <x:v>672.8788214494463</x:v>
      </x:c>
      <x:c r="K33" s="31" t="n">
        <x:f>SUM(K22:K31)</x:f>
        <x:v>793.2756907406813</x:v>
      </x:c>
      <x:c r="L33" s="31" t="n">
        <x:f>SUM(L22:L31)</x:f>
        <x:v>912.6193550837977</x:v>
      </x:c>
      <x:c r="M33" s="31" t="n">
        <x:f>SUM(M22:M31)</x:f>
        <x:v>996.3421550344431</x:v>
      </x:c>
      <x:c r="N33" s="1"/>
      <x:c r="O33" s="1"/>
    </x:row>
    <x:row r="34" ht="21" customHeight="1">
      <x:c r="A34" s="1"/>
      <x:c r="B34" s="1"/>
      <x:c r="C34" s="1" t="str">
        <x:v>Cash flow from investing</x:v>
      </x:c>
      <x:c r="D34" s="6" t="n">
        <x:f>'History'!D33</x:f>
        <x:v>-14.2</x:v>
      </x:c>
      <x:c r="E34" s="6" t="n">
        <x:f>'History'!E33</x:f>
        <x:v>-101.726</x:v>
      </x:c>
      <x:c r="F34" s="6" t="n">
        <x:f>'History'!F33</x:f>
        <x:v>-1295.68</x:v>
      </x:c>
      <x:c r="G34" s="6" t="n">
        <x:f>'History'!G33</x:f>
        <x:v>-24.741</x:v>
      </x:c>
      <x:c r="H34" s="6" t="n">
        <x:f>-'CapitalWC'!H10</x:f>
        <x:v>-29.397005999999998</x:v>
      </x:c>
      <x:c r="I34" s="2" t="n">
        <x:f>G34+H34</x:f>
        <x:v>-54.138006</x:v>
      </x:c>
      <x:c r="J34" s="6" t="n">
        <x:f>-'CapitalWC'!J10</x:f>
        <x:v>-65.18824199999999</x:v>
      </x:c>
      <x:c r="K34" s="6" t="n">
        <x:f>-'CapitalWC'!K10</x:f>
        <x:v>-71.700546636</x:v>
      </x:c>
      <x:c r="L34" s="6" t="n">
        <x:f>-'CapitalWC'!L10</x:f>
        <x:v>-77.26609383624</x:v>
      </x:c>
      <x:c r="M34" s="6" t="n">
        <x:f>-'CapitalWC'!M10</x:f>
        <x:v>-82.18323852559202</x:v>
      </x:c>
      <x:c r="N34" s="1"/>
      <x:c r="O34" s="1"/>
    </x:row>
    <x:row r="35" ht="21" customHeight="1">
      <x:c r="A35" s="1"/>
      <x:c r="B35" s="1"/>
      <x:c r="C35" s="1" t="str">
        <x:v>Cash flow from financing</x:v>
      </x:c>
      <x:c r="D35" s="6" t="n">
        <x:f>'History'!D34</x:f>
        <x:v>-25.221</x:v>
      </x:c>
      <x:c r="E35" s="6" t="n">
        <x:f>'History'!E34</x:f>
        <x:v>-25.966</x:v>
      </x:c>
      <x:c r="F35" s="6" t="n">
        <x:f>'History'!F34</x:f>
        <x:v>582.764</x:v>
      </x:c>
      <x:c r="G35" s="6" t="n">
        <x:f>'History'!G34</x:f>
        <x:v>-176.354</x:v>
      </x:c>
      <x:c r="H35" s="6" t="n">
        <x:f>'Financing'!H12-'Financing'!H10-'Financing'!H13-'Financing'!H9</x:f>
        <x:v>-331.4815409465755</x:v>
      </x:c>
      <x:c r="I35" s="2" t="n">
        <x:f>G35+H35</x:f>
        <x:v>-507.8355409465755</x:v>
      </x:c>
      <x:c r="J35" s="6" t="n">
        <x:f>'Financing'!J12-'Financing'!J10-'Financing'!J13-'Financing'!J9</x:f>
        <x:v>-448.3934590534245</x:v>
      </x:c>
      <x:c r="K35" s="6" t="n">
        <x:f>'Financing'!K12-'Financing'!K10-'Financing'!K13-'Financing'!K9</x:f>
        <x:v>-56.75</x:v>
      </x:c>
      <x:c r="L35" s="6" t="n">
        <x:f>'Financing'!L12-'Financing'!L10-'Financing'!L13-'Financing'!L9</x:f>
        <x:v>-56.75</x:v>
      </x:c>
      <x:c r="M35" s="6" t="n">
        <x:f>'Financing'!M12-'Financing'!M10-'Financing'!M13-'Financing'!M9</x:f>
        <x:v>-56.75</x:v>
      </x:c>
      <x:c r="N35" s="1"/>
      <x:c r="O35" s="1"/>
    </x:row>
    <x:row r="36" ht="21" customHeight="1">
      <x:c r="A36" s="1"/>
      <x:c r="B36" s="1"/>
      <x:c r="C36" s="1" t="str">
        <x:v>FX effect on cash</x:v>
      </x:c>
      <x:c r="D36" s="6" t="n">
        <x:f>'History'!D35</x:f>
        <x:v>1.257</x:v>
      </x:c>
      <x:c r="E36" s="6" t="n">
        <x:f>'History'!E35</x:f>
        <x:v>-0.997</x:v>
      </x:c>
      <x:c r="F36" s="6" t="n">
        <x:f>'History'!F35</x:f>
        <x:v>3.271</x:v>
      </x:c>
      <x:c r="G36" s="6" t="n">
        <x:f>'History'!G35</x:f>
        <x:v>-2.029</x:v>
      </x:c>
      <x:c r="H36" s="11" t="n">
        <x:v>0</x:v>
      </x:c>
      <x:c r="I36" s="2" t="n">
        <x:f>G36+H36</x:f>
        <x:v>-2.029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"/>
      <x:c r="O36" s="1"/>
    </x:row>
    <x:row r="37" ht="21" customHeight="1">
      <x:c r="A37" s="1"/>
      <x:c r="B37" s="1"/>
      <x:c r="C37" s="1" t="str">
        <x:v>Change in cash including restricted</x:v>
      </x:c>
      <x:c r="D37" s="2" t="n">
        <x:f>SUM(D33:D36)</x:f>
        <x:v>103.05399999999999</x:v>
      </x:c>
      <x:c r="E37" s="2" t="n">
        <x:f>SUM(E33:E36)</x:f>
        <x:v>134.209</x:v>
      </x:c>
      <x:c r="F37" s="2" t="n">
        <x:f>SUM(F33:F36)</x:f>
        <x:v>-350.20300000000003</x:v>
      </x:c>
      <x:c r="G37" s="2" t="n">
        <x:f>SUM(G33:G36)</x:f>
        <x:v>93.14200000000002</x:v>
      </x:c>
      <x:c r="H37" s="2" t="n">
        <x:f>SUM(H33:H36)</x:f>
        <x:v>-131.62745905342456</x:v>
      </x:c>
      <x:c r="I37" s="2" t="n">
        <x:f>G37+H37</x:f>
        <x:v>-38.485459053424535</x:v>
      </x:c>
      <x:c r="J37" s="2" t="n">
        <x:f>SUM(J33:J36)</x:f>
        <x:v>159.2971203960218</x:v>
      </x:c>
      <x:c r="K37" s="2" t="n">
        <x:f>SUM(K33:K36)</x:f>
        <x:v>664.8251441046813</x:v>
      </x:c>
      <x:c r="L37" s="2" t="n">
        <x:f>SUM(L33:L36)</x:f>
        <x:v>778.6032612475577</x:v>
      </x:c>
      <x:c r="M37" s="2" t="n">
        <x:f>SUM(M33:M36)</x:f>
        <x:v>857.408916508851</x:v>
      </x:c>
      <x:c r="N37" s="1"/>
      <x:c r="O37" s="1"/>
    </x:row>
    <x:row r="38" ht="21" customHeight="1">
      <x:c r="A38" s="1"/>
      <x:c r="B38" s="1"/>
      <x:c r="C38" s="1" t="str">
        <x:v>Opening cash including restricted</x:v>
      </x:c>
      <x:c r="D38" s="6" t="n">
        <x:f>'History'!D36</x:f>
        <x:v>652.927</x:v>
      </x:c>
      <x:c r="E38" s="6" t="n">
        <x:f>'History'!E36</x:f>
        <x:v>755.981</x:v>
      </x:c>
      <x:c r="F38" s="6" t="n">
        <x:f>'History'!F36</x:f>
        <x:v>890.19</x:v>
      </x:c>
      <x:c r="G38" s="6" t="n">
        <x:f>'History'!G36</x:f>
        <x:v>539.987</x:v>
      </x:c>
      <x:c r="H38" s="2" t="n">
        <x:f>G39</x:f>
        <x:v>633.129</x:v>
      </x:c>
      <x:c r="I38" s="6" t="n">
        <x:f>'History'!F37</x:f>
        <x:v>539.987</x:v>
      </x:c>
      <x:c r="J38" s="2" t="n">
        <x:f>I39</x:f>
        <x:v>501.50154094657546</x:v>
      </x:c>
      <x:c r="K38" s="2" t="n">
        <x:f>J39</x:f>
        <x:v>660.7986613425973</x:v>
      </x:c>
      <x:c r="L38" s="2" t="n">
        <x:f>K39</x:f>
        <x:v>1325.6238054472785</x:v>
      </x:c>
      <x:c r="M38" s="2" t="n">
        <x:f>L39</x:f>
        <x:v>2104.227066694836</x:v>
      </x:c>
      <x:c r="N38" s="1"/>
      <x:c r="O38" s="1"/>
    </x:row>
    <x:row r="39" ht="21" customHeight="1">
      <x:c r="A39" s="1"/>
      <x:c r="B39" s="1"/>
      <x:c r="C39" s="29" t="str">
        <x:v>Closing cash including restricted</x:v>
      </x:c>
      <x:c r="D39" s="30" t="n">
        <x:f>'History'!D37</x:f>
        <x:v>755.981</x:v>
      </x:c>
      <x:c r="E39" s="30" t="n">
        <x:f>'History'!E37</x:f>
        <x:v>890.19</x:v>
      </x:c>
      <x:c r="F39" s="30" t="n">
        <x:f>'History'!F37</x:f>
        <x:v>539.987</x:v>
      </x:c>
      <x:c r="G39" s="30" t="n">
        <x:f>'History'!G37</x:f>
        <x:v>633.129</x:v>
      </x:c>
      <x:c r="H39" s="31" t="n">
        <x:f>H38+H37</x:f>
        <x:v>501.50154094657546</x:v>
      </x:c>
      <x:c r="I39" s="31" t="n">
        <x:f>H39</x:f>
        <x:v>501.50154094657546</x:v>
      </x:c>
      <x:c r="J39" s="31" t="n">
        <x:f>J38+J37</x:f>
        <x:v>660.7986613425973</x:v>
      </x:c>
      <x:c r="K39" s="31" t="n">
        <x:f>K38+K37</x:f>
        <x:v>1325.6238054472785</x:v>
      </x:c>
      <x:c r="L39" s="31" t="n">
        <x:f>L38+L37</x:f>
        <x:v>2104.227066694836</x:v>
      </x:c>
      <x:c r="M39" s="31" t="n">
        <x:f>M38+M37</x:f>
        <x:v>2961.635983203687</x:v>
      </x:c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4" customHeight="1">
      <x:c r="A41" s="1"/>
      <x:c r="B41" s="1"/>
      <x:c r="C41" s="16" t="str">
        <x:v>Balance sheet assets</x:v>
      </x:c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"/>
      <x:c r="O41" s="1"/>
    </x:row>
    <x:row r="42" ht="21" customHeight="1">
      <x:c r="A42" s="1"/>
      <x:c r="B42" s="1"/>
      <x:c r="C42" s="1" t="str">
        <x:v>Unrestricted cash</x:v>
      </x:c>
      <x:c r="D42" s="6" t="n">
        <x:f>'History'!D41</x:f>
        <x:v>755.981</x:v>
      </x:c>
      <x:c r="E42" s="6" t="n">
        <x:f>'History'!E41</x:f>
        <x:v>890.19</x:v>
      </x:c>
      <x:c r="F42" s="6" t="n">
        <x:f>'History'!F41</x:f>
        <x:v>398.866</x:v>
      </x:c>
      <x:c r="G42" s="6" t="n">
        <x:f>'History'!G41</x:f>
        <x:v>631.234</x:v>
      </x:c>
      <x:c r="H42" s="6" t="n">
        <x:f>'Financing'!H14</x:f>
        <x:v>499.6065409465755</x:v>
      </x:c>
      <x:c r="I42" s="2" t="n">
        <x:f>H42</x:f>
        <x:v>499.6065409465755</x:v>
      </x:c>
      <x:c r="J42" s="6" t="n">
        <x:f>'Financing'!J14</x:f>
        <x:v>658.9036613425974</x:v>
      </x:c>
      <x:c r="K42" s="6" t="n">
        <x:f>'Financing'!K14</x:f>
        <x:v>1323.7288054472788</x:v>
      </x:c>
      <x:c r="L42" s="6" t="n">
        <x:f>'Financing'!L14</x:f>
        <x:v>2102.3320666948366</x:v>
      </x:c>
      <x:c r="M42" s="6" t="n">
        <x:f>'Financing'!M14</x:f>
        <x:v>2959.7409832036874</x:v>
      </x:c>
      <x:c r="N42" s="1"/>
      <x:c r="O42" s="1"/>
    </x:row>
    <x:row r="43" ht="21" customHeight="1">
      <x:c r="A43" s="1"/>
      <x:c r="B43" s="1"/>
      <x:c r="C43" s="1" t="str">
        <x:v>Restricted cash</x:v>
      </x:c>
      <x:c r="D43" s="6" t="n">
        <x:f>'History'!D42</x:f>
        <x:v>0</x:v>
      </x:c>
      <x:c r="E43" s="6" t="n">
        <x:f>'History'!E42</x:f>
        <x:v>0</x:v>
      </x:c>
      <x:c r="F43" s="6" t="n">
        <x:f>'History'!F42</x:f>
        <x:v>141.121</x:v>
      </x:c>
      <x:c r="G43" s="6" t="n">
        <x:f>'History'!G42</x:f>
        <x:v>1.895</x:v>
      </x:c>
      <x:c r="H43" s="2" t="n">
        <x:f>G43</x:f>
        <x:v>1.895</x:v>
      </x:c>
      <x:c r="I43" s="2" t="n">
        <x:f>H43</x:f>
        <x:v>1.895</x:v>
      </x:c>
      <x:c r="J43" s="2" t="n">
        <x:f>I43</x:f>
        <x:v>1.895</x:v>
      </x:c>
      <x:c r="K43" s="2" t="n">
        <x:f>J43</x:f>
        <x:v>1.895</x:v>
      </x:c>
      <x:c r="L43" s="2" t="n">
        <x:f>K43</x:f>
        <x:v>1.895</x:v>
      </x:c>
      <x:c r="M43" s="2" t="n">
        <x:f>L43</x:f>
        <x:v>1.895</x:v>
      </x:c>
      <x:c r="N43" s="1"/>
      <x:c r="O43" s="1"/>
    </x:row>
    <x:row r="44" ht="21" customHeight="1">
      <x:c r="A44" s="1"/>
      <x:c r="B44" s="1"/>
      <x:c r="C44" s="1" t="str">
        <x:v>Accounts receivable</x:v>
      </x:c>
      <x:c r="D44" s="6" t="n">
        <x:f>'History'!D43</x:f>
        <x:v>183.703</x:v>
      </x:c>
      <x:c r="E44" s="6" t="n">
        <x:f>'History'!E43</x:f>
        <x:v>270.342</x:v>
      </x:c>
      <x:c r="F44" s="6" t="n">
        <x:f>'History'!F43</x:f>
        <x:v>755.499</x:v>
      </x:c>
      <x:c r="G44" s="6" t="n">
        <x:f>'History'!G43</x:f>
        <x:v>735.336</x:v>
      </x:c>
      <x:c r="H44" s="6" t="n">
        <x:f>'CapitalWC'!H36</x:f>
        <x:v>715.9088219178082</x:v>
      </x:c>
      <x:c r="I44" s="2" t="n">
        <x:f>H44</x:f>
        <x:v>715.9088219178082</x:v>
      </x:c>
      <x:c r="J44" s="6" t="n">
        <x:f>'CapitalWC'!J36</x:f>
        <x:v>793.7685479452056</x:v>
      </x:c>
      <x:c r="K44" s="6" t="n">
        <x:f>'CapitalWC'!K36</x:f>
        <x:v>873.0660168767125</x:v>
      </x:c>
      <x:c r="L44" s="6" t="n">
        <x:f>'CapitalWC'!L36</x:f>
        <x:v>940.8352369709589</x:v>
      </x:c>
      <x:c r="M44" s="6" t="n">
        <x:f>'CapitalWC'!M36</x:f>
        <x:v>1000.7091449082743</x:v>
      </x:c>
      <x:c r="N44" s="1"/>
      <x:c r="O44" s="1"/>
    </x:row>
    <x:row r="45" ht="21" customHeight="1">
      <x:c r="A45" s="1"/>
      <x:c r="B45" s="1"/>
      <x:c r="C45" s="1" t="str">
        <x:v>Inventories</x:v>
      </x:c>
      <x:c r="D45" s="6" t="n">
        <x:f>'History'!D44</x:f>
        <x:v>229.275</x:v>
      </x:c>
      <x:c r="E45" s="6" t="n">
        <x:f>'History'!E44</x:f>
        <x:v>131.165</x:v>
      </x:c>
      <x:c r="F45" s="6" t="n">
        <x:f>'History'!F44</x:f>
        <x:v>337.698</x:v>
      </x:c>
      <x:c r="G45" s="6" t="n">
        <x:f>'History'!G44</x:f>
        <x:v>390.602</x:v>
      </x:c>
      <x:c r="H45" s="6" t="n">
        <x:f>'CapitalWC'!H37</x:f>
        <x:v>387.9330928767123</x:v>
      </x:c>
      <x:c r="I45" s="2" t="n">
        <x:f>H45</x:f>
        <x:v>387.9330928767123</x:v>
      </x:c>
      <x:c r="J45" s="6" t="n">
        <x:f>'CapitalWC'!J37</x:f>
        <x:v>421.6895410958904</x:v>
      </x:c>
      <x:c r="K45" s="6" t="n">
        <x:f>'CapitalWC'!K37</x:f>
        <x:v>459.178158251096</x:v>
      </x:c>
      <x:c r="L45" s="6" t="n">
        <x:f>'CapitalWC'!L37</x:f>
        <x:v>489.82234524800555</x:v>
      </x:c>
      <x:c r="M45" s="6" t="n">
        <x:f>'CapitalWC'!M37</x:f>
        <x:v>520.9941985678703</x:v>
      </x:c>
      <x:c r="N45" s="1"/>
      <x:c r="O45" s="1"/>
    </x:row>
    <x:row r="46" ht="21" customHeight="1">
      <x:c r="A46" s="1"/>
      <x:c r="B46" s="1"/>
      <x:c r="C46" s="1" t="str">
        <x:v>Prepaids and other current assets</x:v>
      </x:c>
      <x:c r="D46" s="6" t="n">
        <x:f>'History'!D45</x:f>
        <x:v>21.821</x:v>
      </x:c>
      <x:c r="E46" s="6" t="n">
        <x:f>'History'!E45</x:f>
        <x:v>18.759</x:v>
      </x:c>
      <x:c r="F46" s="6" t="n">
        <x:f>'History'!F45</x:f>
        <x:v>128.806</x:v>
      </x:c>
      <x:c r="G46" s="6" t="n">
        <x:f>'History'!G45</x:f>
        <x:v>67.422</x:v>
      </x:c>
      <x:c r="H46" s="6" t="n">
        <x:f>'CapitalWC'!H38</x:f>
        <x:v>65.32668</x:v>
      </x:c>
      <x:c r="I46" s="2" t="n">
        <x:f>H46</x:f>
        <x:v>65.32668</x:v>
      </x:c>
      <x:c r="J46" s="6" t="n">
        <x:f>'CapitalWC'!J38</x:f>
        <x:v>72.43138</x:v>
      </x:c>
      <x:c r="K46" s="6" t="n">
        <x:f>'CapitalWC'!K38</x:f>
        <x:v>79.66727404000001</x:v>
      </x:c>
      <x:c r="L46" s="6" t="n">
        <x:f>'CapitalWC'!L38</x:f>
        <x:v>85.85121537360001</x:v>
      </x:c>
      <x:c r="M46" s="6" t="n">
        <x:f>'CapitalWC'!M38</x:f>
        <x:v>91.31470947288003</x:v>
      </x:c>
      <x:c r="N46" s="1"/>
      <x:c r="O46" s="1"/>
    </x:row>
    <x:row r="47" ht="21" customHeight="1">
      <x:c r="A47" s="1"/>
      <x:c r="B47" s="1"/>
      <x:c r="C47" s="1" t="str">
        <x:v>Deferred customer costs</x:v>
      </x:c>
      <x:c r="D47" s="6" t="n">
        <x:f>'History'!D46</x:f>
        <x:v>262.462</x:v>
      </x:c>
      <x:c r="E47" s="6" t="n">
        <x:f>'History'!E46</x:f>
        <x:v>248.339</x:v>
      </x:c>
      <x:c r="F47" s="6" t="n">
        <x:f>'History'!F46</x:f>
        <x:v>820.799</x:v>
      </x:c>
      <x:c r="G47" s="6" t="n">
        <x:f>'History'!G46</x:f>
        <x:v>796.209</x:v>
      </x:c>
      <x:c r="H47" s="6" t="n">
        <x:f>'CapitalWC'!H22</x:f>
        <x:v>771.473</x:v>
      </x:c>
      <x:c r="I47" s="2" t="n">
        <x:f>H47</x:f>
        <x:v>771.473</x:v>
      </x:c>
      <x:c r="J47" s="6" t="n">
        <x:f>'CapitalWC'!J22</x:f>
        <x:v>722.001</x:v>
      </x:c>
      <x:c r="K47" s="6" t="n">
        <x:f>'CapitalWC'!K22</x:f>
        <x:v>672.529</x:v>
      </x:c>
      <x:c r="L47" s="6" t="n">
        <x:f>'CapitalWC'!L22</x:f>
        <x:v>623.057</x:v>
      </x:c>
      <x:c r="M47" s="6" t="n">
        <x:f>'CapitalWC'!M22</x:f>
        <x:v>573.585</x:v>
      </x:c>
      <x:c r="N47" s="1"/>
      <x:c r="O47" s="1"/>
    </x:row>
    <x:row r="48" ht="21" customHeight="1">
      <x:c r="A48" s="1"/>
      <x:c r="B48" s="1"/>
      <x:c r="C48" s="1" t="str">
        <x:v>Property, plant and equipment</x:v>
      </x:c>
      <x:c r="D48" s="6" t="n">
        <x:f>'History'!D47</x:f>
        <x:v>24.868</x:v>
      </x:c>
      <x:c r="E48" s="6" t="n">
        <x:f>'History'!E47</x:f>
        <x:v>55.602</x:v>
      </x:c>
      <x:c r="F48" s="6" t="n">
        <x:f>'History'!F47</x:f>
        <x:v>87.91</x:v>
      </x:c>
      <x:c r="G48" s="6" t="n">
        <x:f>'History'!G47</x:f>
        <x:v>108.748</x:v>
      </x:c>
      <x:c r="H48" s="6" t="n">
        <x:f>'CapitalWC'!H13</x:f>
        <x:v>134.610696</x:v>
      </x:c>
      <x:c r="I48" s="2" t="n">
        <x:f>H48</x:f>
        <x:v>134.610696</x:v>
      </x:c>
      <x:c r="J48" s="6" t="n">
        <x:f>'CapitalWC'!J13</x:f>
        <x:v>191.04924275999997</x:v>
      </x:c>
      <x:c r="K48" s="6" t="n">
        <x:f>'CapitalWC'!K13</x:f>
        <x:v>250.3315886166</x:v>
      </x:c>
      <x:c r="L48" s="6" t="n">
        <x:f>'CapitalWC'!L13</x:f>
        <x:v>311.326129192761</x:v>
      </x:c>
      <x:c r="M48" s="6" t="n">
        <x:f>'CapitalWC'!M13</x:f>
        <x:v>373.27316932082357</x:v>
      </x:c>
      <x:c r="N48" s="1"/>
      <x:c r="O48" s="1"/>
    </x:row>
    <x:row r="49" ht="21" customHeight="1">
      <x:c r="A49" s="1"/>
      <x:c r="B49" s="1"/>
      <x:c r="C49" s="1" t="str">
        <x:v>Intangible assets</x:v>
      </x:c>
      <x:c r="D49" s="6" t="n">
        <x:f>'History'!D48</x:f>
        <x:v>12.139</x:v>
      </x:c>
      <x:c r="E49" s="6" t="n">
        <x:f>'History'!E48</x:f>
        <x:v>12.213</x:v>
      </x:c>
      <x:c r="F49" s="6" t="n">
        <x:f>'History'!F48</x:f>
        <x:v>1391.915</x:v>
      </x:c>
      <x:c r="G49" s="6" t="n">
        <x:f>'History'!G48</x:f>
        <x:v>1379.751</x:v>
      </x:c>
      <x:c r="H49" s="6" t="n">
        <x:f>'CapitalWC'!H18</x:f>
        <x:v>1367.933</x:v>
      </x:c>
      <x:c r="I49" s="2" t="n">
        <x:f>H49</x:f>
        <x:v>1367.933</x:v>
      </x:c>
      <x:c r="J49" s="6" t="n">
        <x:f>'CapitalWC'!J18</x:f>
        <x:v>1344.325</x:v>
      </x:c>
      <x:c r="K49" s="6" t="n">
        <x:f>'CapitalWC'!K18</x:f>
        <x:v>1320.856</x:v>
      </x:c>
      <x:c r="L49" s="6" t="n">
        <x:f>'CapitalWC'!L18</x:f>
        <x:v>1297.387</x:v>
      </x:c>
      <x:c r="M49" s="6" t="n">
        <x:f>'CapitalWC'!M18</x:f>
        <x:v>1290.5919999999999</x:v>
      </x:c>
      <x:c r="N49" s="1"/>
      <x:c r="O49" s="1"/>
    </x:row>
    <x:row r="50" ht="21" customHeight="1">
      <x:c r="A50" s="1"/>
      <x:c r="B50" s="1"/>
      <x:c r="C50" s="1" t="str">
        <x:v>Goodwill</x:v>
      </x:c>
      <x:c r="D50" s="6" t="n">
        <x:f>'History'!D49</x:f>
        <x:v>14.173</x:v>
      </x:c>
      <x:c r="E50" s="6" t="n">
        <x:f>'History'!E49</x:f>
        <x:v>71.582</x:v>
      </x:c>
      <x:c r="F50" s="6" t="n">
        <x:f>'History'!F49</x:f>
        <x:v>917.56</x:v>
      </x:c>
      <x:c r="G50" s="6" t="n">
        <x:f>'History'!G49</x:f>
        <x:v>919.66</x:v>
      </x:c>
      <x:c r="H50" s="2" t="n">
        <x:f>G50</x:f>
        <x:v>919.66</x:v>
      </x:c>
      <x:c r="I50" s="2" t="n">
        <x:f>H50</x:f>
        <x:v>919.66</x:v>
      </x:c>
      <x:c r="J50" s="2" t="n">
        <x:f>I50</x:f>
        <x:v>919.66</x:v>
      </x:c>
      <x:c r="K50" s="2" t="n">
        <x:f>J50</x:f>
        <x:v>919.66</x:v>
      </x:c>
      <x:c r="L50" s="2" t="n">
        <x:f>K50</x:f>
        <x:v>919.66</x:v>
      </x:c>
      <x:c r="M50" s="2" t="n">
        <x:f>L50</x:f>
        <x:v>919.66</x:v>
      </x:c>
      <x:c r="N50" s="1"/>
      <x:c r="O50" s="1"/>
    </x:row>
    <x:row r="51" ht="21" customHeight="1">
      <x:c r="A51" s="1"/>
      <x:c r="B51" s="1"/>
      <x:c r="C51" s="1" t="str">
        <x:v>Deferred tax assets</x:v>
      </x:c>
      <x:c r="D51" s="6" t="n">
        <x:f>'History'!D50</x:f>
        <x:v>29.518</x:v>
      </x:c>
      <x:c r="E51" s="6" t="n">
        <x:f>'History'!E50</x:f>
        <x:v>38.699</x:v>
      </x:c>
      <x:c r="F51" s="6" t="n">
        <x:f>'History'!F50</x:f>
        <x:v>96.013</x:v>
      </x:c>
      <x:c r="G51" s="6" t="n">
        <x:f>'History'!G50</x:f>
        <x:v>93.25</x:v>
      </x:c>
      <x:c r="H51" s="6" t="n">
        <x:f>'CapitalWC'!H30</x:f>
        <x:v>90.75</x:v>
      </x:c>
      <x:c r="I51" s="2" t="n">
        <x:f>H51</x:f>
        <x:v>90.75</x:v>
      </x:c>
      <x:c r="J51" s="6" t="n">
        <x:f>'CapitalWC'!J30</x:f>
        <x:v>85.75</x:v>
      </x:c>
      <x:c r="K51" s="6" t="n">
        <x:f>'CapitalWC'!K30</x:f>
        <x:v>80.75</x:v>
      </x:c>
      <x:c r="L51" s="6" t="n">
        <x:f>'CapitalWC'!L30</x:f>
        <x:v>75.75</x:v>
      </x:c>
      <x:c r="M51" s="6" t="n">
        <x:f>'CapitalWC'!M30</x:f>
        <x:v>70.75</x:v>
      </x:c>
      <x:c r="N51" s="1"/>
      <x:c r="O51" s="1"/>
    </x:row>
    <x:row r="52" ht="21" customHeight="1">
      <x:c r="A52" s="1"/>
      <x:c r="B52" s="1"/>
      <x:c r="C52" s="1" t="str">
        <x:v>Other non-current assets</x:v>
      </x:c>
      <x:c r="D52" s="6" t="n">
        <x:f>'History'!D51</x:f>
        <x:v>2.456</x:v>
      </x:c>
      <x:c r="E52" s="6" t="n">
        <x:f>'History'!E51</x:f>
        <x:v>29.99</x:v>
      </x:c>
      <x:c r="F52" s="6" t="n">
        <x:f>'History'!F51</x:f>
        <x:v>43.434</x:v>
      </x:c>
      <x:c r="G52" s="6" t="n">
        <x:f>'History'!G51</x:f>
        <x:v>44.044</x:v>
      </x:c>
      <x:c r="H52" s="2" t="n">
        <x:f>G52</x:f>
        <x:v>44.044</x:v>
      </x:c>
      <x:c r="I52" s="2" t="n">
        <x:f>H52</x:f>
        <x:v>44.044</x:v>
      </x:c>
      <x:c r="J52" s="2" t="n">
        <x:f>I52</x:f>
        <x:v>44.044</x:v>
      </x:c>
      <x:c r="K52" s="2" t="n">
        <x:f>J52</x:f>
        <x:v>44.044</x:v>
      </x:c>
      <x:c r="L52" s="2" t="n">
        <x:f>K52</x:f>
        <x:v>44.044</x:v>
      </x:c>
      <x:c r="M52" s="2" t="n">
        <x:f>L52</x:f>
        <x:v>44.044</x:v>
      </x:c>
      <x:c r="N52" s="1"/>
      <x:c r="O52" s="1"/>
    </x:row>
    <x:row r="53" ht="21" customHeight="1">
      <x:c r="A53" s="1"/>
      <x:c r="B53" s="1"/>
      <x:c r="C53" s="29" t="str">
        <x:v>Total assets</x:v>
      </x:c>
      <x:c r="D53" s="30" t="n">
        <x:f>'History'!D52</x:f>
        <x:v>1536.396</x:v>
      </x:c>
      <x:c r="E53" s="30" t="n">
        <x:f>'History'!E52</x:f>
        <x:v>1766.881</x:v>
      </x:c>
      <x:c r="F53" s="30" t="n">
        <x:f>'History'!F52</x:f>
        <x:v>5119.621</x:v>
      </x:c>
      <x:c r="G53" s="30" t="n">
        <x:f>'History'!G52</x:f>
        <x:v>5168.151</x:v>
      </x:c>
      <x:c r="H53" s="31" t="n">
        <x:f>SUM(H42:H52)</x:f>
        <x:v>4999.140831741096</x:v>
      </x:c>
      <x:c r="I53" s="31" t="n">
        <x:f>H53</x:f>
        <x:v>4999.140831741096</x:v>
      </x:c>
      <x:c r="J53" s="31" t="n">
        <x:f>SUM(J42:J52)</x:f>
        <x:v>5255.5173731436935</x:v>
      </x:c>
      <x:c r="K53" s="31" t="n">
        <x:f>SUM(K42:K52)</x:f>
        <x:v>6025.705843231687</x:v>
      </x:c>
      <x:c r="L53" s="31" t="n">
        <x:f>SUM(L42:L52)</x:f>
        <x:v>6891.959993480162</x:v>
      </x:c>
      <x:c r="M53" s="31" t="n">
        <x:f>SUM(M42:M52)</x:f>
        <x:v>7846.558205473535</x:v>
      </x:c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4" customHeight="1">
      <x:c r="A55" s="1"/>
      <x:c r="B55" s="1"/>
      <x:c r="C55" s="16" t="str">
        <x:v>Balance sheet liabilities</x:v>
      </x:c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"/>
      <x:c r="O55" s="1"/>
    </x:row>
    <x:row r="56" ht="21" customHeight="1">
      <x:c r="A56" s="1"/>
      <x:c r="B56" s="1"/>
      <x:c r="C56" s="1" t="str">
        <x:v>Accounts payable</x:v>
      </x:c>
      <x:c r="D56" s="6" t="n">
        <x:f>'History'!D55</x:f>
        <x:v>42.84</x:v>
      </x:c>
      <x:c r="E56" s="6" t="n">
        <x:f>'History'!E55</x:f>
        <x:v>41.287</x:v>
      </x:c>
      <x:c r="F56" s="6" t="n">
        <x:f>'History'!F55</x:f>
        <x:v>137.93</x:v>
      </x:c>
      <x:c r="G56" s="6" t="n">
        <x:f>'History'!G55</x:f>
        <x:v>202.101</x:v>
      </x:c>
      <x:c r="H56" s="6" t="n">
        <x:f>'CapitalWC'!H39</x:f>
        <x:v>205.37634328767123</x:v>
      </x:c>
      <x:c r="I56" s="2" t="n">
        <x:f>H56</x:f>
        <x:v>205.37634328767123</x:v>
      </x:c>
      <x:c r="J56" s="6" t="n">
        <x:f>'CapitalWC'!J39</x:f>
        <x:v>223.24740410958904</x:v>
      </x:c>
      <x:c r="K56" s="6" t="n">
        <x:f>'CapitalWC'!K39</x:f>
        <x:v>243.09431907410965</x:v>
      </x:c>
      <x:c r="L56" s="6" t="n">
        <x:f>'CapitalWC'!L39</x:f>
        <x:v>259.3177121901206</x:v>
      </x:c>
      <x:c r="M56" s="6" t="n">
        <x:f>'CapitalWC'!M39</x:f>
        <x:v>275.8204580653431</x:v>
      </x:c>
      <x:c r="N56" s="1"/>
      <x:c r="O56" s="1"/>
    </x:row>
    <x:row r="57" ht="21" customHeight="1">
      <x:c r="A57" s="1"/>
      <x:c r="B57" s="1"/>
      <x:c r="C57" s="1" t="str">
        <x:v>Accrued expenses</x:v>
      </x:c>
      <x:c r="D57" s="6" t="n">
        <x:f>'History'!D56</x:f>
        <x:v>62.12</x:v>
      </x:c>
      <x:c r="E57" s="6" t="n">
        <x:f>'History'!E56</x:f>
        <x:v>148.78</x:v>
      </x:c>
      <x:c r="F57" s="6" t="n">
        <x:f>'History'!F56</x:f>
        <x:v>230.721</x:v>
      </x:c>
      <x:c r="G57" s="6" t="n">
        <x:f>'History'!G56</x:f>
        <x:v>264.558</x:v>
      </x:c>
      <x:c r="H57" s="6" t="n">
        <x:f>'CapitalWC'!H40</x:f>
        <x:v>179.64837</x:v>
      </x:c>
      <x:c r="I57" s="2" t="n">
        <x:f>H57</x:f>
        <x:v>179.64837</x:v>
      </x:c>
      <x:c r="J57" s="6" t="n">
        <x:f>'CapitalWC'!J40</x:f>
        <x:v>199.186295</x:v>
      </x:c>
      <x:c r="K57" s="6" t="n">
        <x:f>'CapitalWC'!K40</x:f>
        <x:v>219.08500361000003</x:v>
      </x:c>
      <x:c r="L57" s="6" t="n">
        <x:f>'CapitalWC'!L40</x:f>
        <x:v>236.09084227740001</x:v>
      </x:c>
      <x:c r="M57" s="6" t="n">
        <x:f>'CapitalWC'!M40</x:f>
        <x:v>251.11545105042006</x:v>
      </x:c>
      <x:c r="N57" s="1"/>
      <x:c r="O57" s="1"/>
    </x:row>
    <x:row r="58" ht="21" customHeight="1">
      <x:c r="A58" s="1"/>
      <x:c r="B58" s="1"/>
      <x:c r="C58" s="1" t="str">
        <x:v>Income taxes payable</x:v>
      </x:c>
      <x:c r="D58" s="6" t="n">
        <x:f>'History'!D57</x:f>
        <x:v>50.424</x:v>
      </x:c>
      <x:c r="E58" s="6" t="n">
        <x:f>'History'!E57</x:f>
        <x:v>10.834</x:v>
      </x:c>
      <x:c r="F58" s="6" t="n">
        <x:f>'History'!F57</x:f>
        <x:v>49.612</x:v>
      </x:c>
      <x:c r="G58" s="6" t="n">
        <x:f>'History'!G57</x:f>
        <x:v>40.821</x:v>
      </x:c>
      <x:c r="H58" s="2" t="n">
        <x:f>G58</x:f>
        <x:v>40.821</x:v>
      </x:c>
      <x:c r="I58" s="2" t="n">
        <x:f>H58</x:f>
        <x:v>40.821</x:v>
      </x:c>
      <x:c r="J58" s="2" t="n">
        <x:f>I58</x:f>
        <x:v>40.821</x:v>
      </x:c>
      <x:c r="K58" s="2" t="n">
        <x:f>J58</x:f>
        <x:v>40.821</x:v>
      </x:c>
      <x:c r="L58" s="2" t="n">
        <x:f>K58</x:f>
        <x:v>40.821</x:v>
      </x:c>
      <x:c r="M58" s="2" t="n">
        <x:f>L58</x:f>
        <x:v>40.821</x:v>
      </x:c>
      <x:c r="N58" s="1"/>
      <x:c r="O58" s="1"/>
    </x:row>
    <x:row r="59" ht="21" customHeight="1">
      <x:c r="A59" s="1"/>
      <x:c r="B59" s="1"/>
      <x:c r="C59" s="1" t="str">
        <x:v>Distributor termination payable</x:v>
      </x:c>
      <x:c r="D59" s="6" t="n">
        <x:f>'History'!D58</x:f>
        <x:v>0</x:v>
      </x:c>
      <x:c r="E59" s="6" t="n">
        <x:f>'History'!E58</x:f>
        <x:v>0</x:v>
      </x:c>
      <x:c r="F59" s="6" t="n">
        <x:f>'History'!F58</x:f>
        <x:v>264.088</x:v>
      </x:c>
      <x:c r="G59" s="6" t="n">
        <x:f>'History'!G58</x:f>
        <x:v>8.761</x:v>
      </x:c>
      <x:c r="H59" s="6" t="n">
        <x:f>G59-'CapitalWC'!H46</x:f>
        <x:v>0</x:v>
      </x:c>
      <x:c r="I59" s="2" t="n">
        <x:f>H59</x:f>
        <x:v>0</x:v>
      </x:c>
      <x:c r="J59" s="6" t="n">
        <x:f>I59-'CapitalWC'!J46</x:f>
        <x:v>0</x:v>
      </x:c>
      <x:c r="K59" s="6" t="n">
        <x:f>J59-'CapitalWC'!K46</x:f>
        <x:v>0</x:v>
      </x:c>
      <x:c r="L59" s="6" t="n">
        <x:f>K59-'CapitalWC'!L46</x:f>
        <x:v>0</x:v>
      </x:c>
      <x:c r="M59" s="6" t="n">
        <x:f>L59-'CapitalWC'!M46</x:f>
        <x:v>0</x:v>
      </x:c>
      <x:c r="N59" s="1"/>
      <x:c r="O59" s="1"/>
    </x:row>
    <x:row r="60" ht="21" customHeight="1">
      <x:c r="A60" s="1"/>
      <x:c r="B60" s="1"/>
      <x:c r="C60" s="1" t="str">
        <x:v>Promotional allowances</x:v>
      </x:c>
      <x:c r="D60" s="6" t="n">
        <x:f>'History'!D59</x:f>
        <x:v>99.787</x:v>
      </x:c>
      <x:c r="E60" s="6" t="n">
        <x:f>'History'!E59</x:f>
        <x:v>135.948</x:v>
      </x:c>
      <x:c r="F60" s="6" t="n">
        <x:f>'History'!F59</x:f>
        <x:v>307.922</x:v>
      </x:c>
      <x:c r="G60" s="6" t="n">
        <x:f>'History'!G59</x:f>
        <x:v>453.043</x:v>
      </x:c>
      <x:c r="H60" s="6" t="n">
        <x:f>'CapitalWC'!H41</x:f>
        <x:v>457.28676</x:v>
      </x:c>
      <x:c r="I60" s="2" t="n">
        <x:f>H60</x:f>
        <x:v>457.28676</x:v>
      </x:c>
      <x:c r="J60" s="6" t="n">
        <x:f>'CapitalWC'!J41</x:f>
        <x:v>507.01966000000004</x:v>
      </x:c>
      <x:c r="K60" s="6" t="n">
        <x:f>'CapitalWC'!K41</x:f>
        <x:v>557.6709182800001</x:v>
      </x:c>
      <x:c r="L60" s="6" t="n">
        <x:f>'CapitalWC'!L41</x:f>
        <x:v>600.9585076152001</x:v>
      </x:c>
      <x:c r="M60" s="6" t="n">
        <x:f>'CapitalWC'!M41</x:f>
        <x:v>639.2029663101603</x:v>
      </x:c>
      <x:c r="N60" s="1"/>
      <x:c r="O60" s="1"/>
    </x:row>
    <x:row r="61" ht="21" customHeight="1">
      <x:c r="A61" s="1"/>
      <x:c r="B61" s="1"/>
      <x:c r="C61" s="1" t="str">
        <x:v>Contingent consideration</x:v>
      </x:c>
      <x:c r="D61" s="6" t="n">
        <x:f>'History'!D60</x:f>
        <x:v>0</x:v>
      </x:c>
      <x:c r="E61" s="6" t="n">
        <x:f>'History'!E60</x:f>
        <x:v>0</x:v>
      </x:c>
      <x:c r="F61" s="6" t="n">
        <x:f>'History'!F60</x:f>
        <x:v>25</x:v>
      </x:c>
      <x:c r="G61" s="6" t="n">
        <x:f>'History'!G60</x:f>
        <x:v>0</x:v>
      </x:c>
      <x:c r="H61" s="2" t="n">
        <x:f>G61</x:f>
        <x:v>0</x:v>
      </x:c>
      <x:c r="I61" s="2" t="n">
        <x:f>H61</x:f>
        <x:v>0</x:v>
      </x:c>
      <x:c r="J61" s="2" t="n">
        <x:f>I61</x:f>
        <x:v>0</x:v>
      </x:c>
      <x:c r="K61" s="2" t="n">
        <x:f>J61</x:f>
        <x:v>0</x:v>
      </x:c>
      <x:c r="L61" s="2" t="n">
        <x:f>K61</x:f>
        <x:v>0</x:v>
      </x:c>
      <x:c r="M61" s="2" t="n">
        <x:f>L61</x:f>
        <x:v>0</x:v>
      </x:c>
      <x:c r="N61" s="1"/>
      <x:c r="O61" s="1"/>
    </x:row>
    <x:row r="62" ht="21" customHeight="1">
      <x:c r="A62" s="1"/>
      <x:c r="B62" s="1"/>
      <x:c r="C62" s="1" t="str">
        <x:v>Deferred revenue</x:v>
      </x:c>
      <x:c r="D62" s="6" t="n">
        <x:f>'History'!D61</x:f>
        <x:v>176.74</x:v>
      </x:c>
      <x:c r="E62" s="6" t="n">
        <x:f>'History'!E61</x:f>
        <x:v>167.227</x:v>
      </x:c>
      <x:c r="F62" s="6" t="n">
        <x:f>'History'!F61</x:f>
        <x:v>428.143</x:v>
      </x:c>
      <x:c r="G62" s="6" t="n">
        <x:f>'History'!G61</x:f>
        <x:v>495.316</x:v>
      </x:c>
      <x:c r="H62" s="6" t="n">
        <x:f>'CapitalWC'!H26</x:f>
        <x:v>479.58599999999996</x:v>
      </x:c>
      <x:c r="I62" s="2" t="n">
        <x:f>H62</x:f>
        <x:v>479.58599999999996</x:v>
      </x:c>
      <x:c r="J62" s="6" t="n">
        <x:f>'CapitalWC'!J26</x:f>
        <x:v>448.126</x:v>
      </x:c>
      <x:c r="K62" s="6" t="n">
        <x:f>'CapitalWC'!K26</x:f>
        <x:v>416.666</x:v>
      </x:c>
      <x:c r="L62" s="6" t="n">
        <x:f>'CapitalWC'!L26</x:f>
        <x:v>385.206</x:v>
      </x:c>
      <x:c r="M62" s="6" t="n">
        <x:f>'CapitalWC'!M26</x:f>
        <x:v>353.74600000000004</x:v>
      </x:c>
      <x:c r="N62" s="1"/>
      <x:c r="O62" s="1"/>
    </x:row>
    <x:row r="63" ht="21" customHeight="1">
      <x:c r="A63" s="1"/>
      <x:c r="B63" s="1"/>
      <x:c r="C63" s="1" t="str">
        <x:v>Other current liabilities</x:v>
      </x:c>
      <x:c r="D63" s="6" t="n">
        <x:f>'History'!D62</x:f>
        <x:v>11.929</x:v>
      </x:c>
      <x:c r="E63" s="6" t="n">
        <x:f>'History'!E62</x:f>
        <x:v>19.173</x:v>
      </x:c>
      <x:c r="F63" s="6" t="n">
        <x:f>'History'!F62</x:f>
        <x:v>29.465</x:v>
      </x:c>
      <x:c r="G63" s="6" t="n">
        <x:f>'History'!G62</x:f>
        <x:v>35.891</x:v>
      </x:c>
      <x:c r="H63" s="2" t="n">
        <x:f>G63</x:f>
        <x:v>35.891</x:v>
      </x:c>
      <x:c r="I63" s="2" t="n">
        <x:f>H63</x:f>
        <x:v>35.891</x:v>
      </x:c>
      <x:c r="J63" s="2" t="n">
        <x:f>I63</x:f>
        <x:v>35.891</x:v>
      </x:c>
      <x:c r="K63" s="2" t="n">
        <x:f>J63</x:f>
        <x:v>35.891</x:v>
      </x:c>
      <x:c r="L63" s="2" t="n">
        <x:f>K63</x:f>
        <x:v>35.891</x:v>
      </x:c>
      <x:c r="M63" s="2" t="n">
        <x:f>L63</x:f>
        <x:v>35.891</x:v>
      </x:c>
      <x:c r="N63" s="1"/>
      <x:c r="O63" s="1"/>
    </x:row>
    <x:row r="64" ht="21" customHeight="1">
      <x:c r="A64" s="1"/>
      <x:c r="B64" s="1"/>
      <x:c r="C64" s="1" t="str">
        <x:v>Debt carrying value</x:v>
      </x:c>
      <x:c r="D64" s="6" t="n">
        <x:f>'History'!D63</x:f>
        <x:v>0</x:v>
      </x:c>
      <x:c r="E64" s="6" t="n">
        <x:f>'History'!E63</x:f>
        <x:v>0</x:v>
      </x:c>
      <x:c r="F64" s="6" t="n">
        <x:f>'History'!F63</x:f>
        <x:v>676.926</x:v>
      </x:c>
      <x:c r="G64" s="6" t="n">
        <x:f>'History'!G63</x:f>
        <x:v>674.85</x:v>
      </x:c>
      <x:c r="H64" s="6" t="n">
        <x:f>'Financing'!H27</x:f>
        <x:v>373.1434590534245</x:v>
      </x:c>
      <x:c r="I64" s="2" t="n">
        <x:f>H64</x:f>
        <x:v>373.1434590534245</x:v>
      </x:c>
      <x:c r="J64" s="6" t="n">
        <x:f>'Financing'!J27</x:f>
        <x:v>0</x:v>
      </x:c>
      <x:c r="K64" s="6" t="n">
        <x:f>'Financing'!K27</x:f>
        <x:v>0</x:v>
      </x:c>
      <x:c r="L64" s="6" t="n">
        <x:f>'Financing'!L27</x:f>
        <x:v>0</x:v>
      </x:c>
      <x:c r="M64" s="6" t="n">
        <x:f>'Financing'!M27</x:f>
        <x:v>0</x:v>
      </x:c>
      <x:c r="N64" s="1"/>
      <x:c r="O64" s="1"/>
    </x:row>
    <x:row r="65" ht="21" customHeight="1">
      <x:c r="A65" s="1"/>
      <x:c r="B65" s="1"/>
      <x:c r="C65" s="1" t="str">
        <x:v>Other non-current liabilities</x:v>
      </x:c>
      <x:c r="D65" s="6" t="n">
        <x:f>'History'!D64</x:f>
        <x:v>4.028</x:v>
      </x:c>
      <x:c r="E65" s="6" t="n">
        <x:f>'History'!E64</x:f>
        <x:v>19.215</x:v>
      </x:c>
      <x:c r="F65" s="6" t="n">
        <x:f>'History'!F64</x:f>
        <x:v>28.372</x:v>
      </x:c>
      <x:c r="G65" s="6" t="n">
        <x:f>'History'!G64</x:f>
        <x:v>33.251</x:v>
      </x:c>
      <x:c r="H65" s="2" t="n">
        <x:f>G65</x:f>
        <x:v>33.251</x:v>
      </x:c>
      <x:c r="I65" s="2" t="n">
        <x:f>H65</x:f>
        <x:v>33.251</x:v>
      </x:c>
      <x:c r="J65" s="2" t="n">
        <x:f>I65</x:f>
        <x:v>33.251</x:v>
      </x:c>
      <x:c r="K65" s="2" t="n">
        <x:f>J65</x:f>
        <x:v>33.251</x:v>
      </x:c>
      <x:c r="L65" s="2" t="n">
        <x:f>K65</x:f>
        <x:v>33.251</x:v>
      </x:c>
      <x:c r="M65" s="2" t="n">
        <x:f>L65</x:f>
        <x:v>33.251</x:v>
      </x:c>
      <x:c r="N65" s="1"/>
      <x:c r="O65" s="1"/>
    </x:row>
    <x:row r="66" ht="21" customHeight="1">
      <x:c r="A66" s="1"/>
      <x:c r="B66" s="1"/>
      <x:c r="C66" s="29" t="str">
        <x:v>Total liabilities</x:v>
      </x:c>
      <x:c r="D66" s="30" t="n">
        <x:f>'History'!D65</x:f>
        <x:v>447.868</x:v>
      </x:c>
      <x:c r="E66" s="30" t="n">
        <x:f>'History'!E65</x:f>
        <x:v>542.464</x:v>
      </x:c>
      <x:c r="F66" s="30" t="n">
        <x:f>'History'!F65</x:f>
        <x:v>2178.179</x:v>
      </x:c>
      <x:c r="G66" s="30" t="n">
        <x:f>'History'!G65</x:f>
        <x:v>2208.592</x:v>
      </x:c>
      <x:c r="H66" s="31" t="n">
        <x:f>SUM(H56:H65)</x:f>
        <x:v>1805.0039323410958</x:v>
      </x:c>
      <x:c r="I66" s="31" t="n">
        <x:f>H66</x:f>
        <x:v>1805.0039323410958</x:v>
      </x:c>
      <x:c r="J66" s="31" t="n">
        <x:f>SUM(J56:J65)</x:f>
        <x:v>1487.5423591095891</x:v>
      </x:c>
      <x:c r="K66" s="31" t="n">
        <x:f>SUM(K56:K65)</x:f>
        <x:v>1546.47924096411</x:v>
      </x:c>
      <x:c r="L66" s="31" t="n">
        <x:f>SUM(L56:L65)</x:f>
        <x:v>1591.5360620827207</x:v>
      </x:c>
      <x:c r="M66" s="31" t="n">
        <x:f>SUM(M56:M65)</x:f>
        <x:v>1629.8478754259236</x:v>
      </x:c>
      <x:c r="N66" s="1"/>
      <x:c r="O66" s="1"/>
    </x:row>
    <x:row r="67" ht="24" customHeight="1">
      <x:c r="A67" s="1"/>
      <x:c r="B67" s="1"/>
      <x:c r="C67" s="16" t="str">
        <x:v>Equity</x:v>
      </x:c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"/>
      <x:c r="O67" s="1"/>
    </x:row>
    <x:row r="68" ht="21" customHeight="1">
      <x:c r="A68" s="1"/>
      <x:c r="B68" s="1"/>
      <x:c r="C68" s="1" t="str">
        <x:v>Preferred mezzanine equity</x:v>
      </x:c>
      <x:c r="D68" s="6" t="n">
        <x:f>'History'!D67</x:f>
        <x:v>824.488</x:v>
      </x:c>
      <x:c r="E68" s="6" t="n">
        <x:f>'History'!E67</x:f>
        <x:v>824.488</x:v>
      </x:c>
      <x:c r="F68" s="6" t="n">
        <x:f>'History'!F67</x:f>
        <x:v>1759.975</x:v>
      </x:c>
      <x:c r="G68" s="6" t="n">
        <x:f>'History'!G67</x:f>
        <x:v>1759.975</x:v>
      </x:c>
      <x:c r="H68" s="2" t="n">
        <x:f>G68</x:f>
        <x:v>1759.975</x:v>
      </x:c>
      <x:c r="I68" s="2" t="n">
        <x:f>H68</x:f>
        <x:v>1759.975</x:v>
      </x:c>
      <x:c r="J68" s="2" t="n">
        <x:f>I68</x:f>
        <x:v>1759.975</x:v>
      </x:c>
      <x:c r="K68" s="2" t="n">
        <x:f>J68</x:f>
        <x:v>1759.975</x:v>
      </x:c>
      <x:c r="L68" s="2" t="n">
        <x:f>K68</x:f>
        <x:v>1759.975</x:v>
      </x:c>
      <x:c r="M68" s="2" t="n">
        <x:f>L68</x:f>
        <x:v>1759.975</x:v>
      </x:c>
      <x:c r="N68" s="1"/>
      <x:c r="O68" s="1"/>
    </x:row>
    <x:row r="69" ht="21" customHeight="1">
      <x:c r="A69" s="1"/>
      <x:c r="B69" s="1"/>
      <x:c r="C69" s="1" t="str">
        <x:v>Common shareholders equity</x:v>
      </x:c>
      <x:c r="D69" s="6" t="n">
        <x:f>'History'!D68</x:f>
        <x:v>264.04</x:v>
      </x:c>
      <x:c r="E69" s="6" t="n">
        <x:f>'History'!E68</x:f>
        <x:v>399.929</x:v>
      </x:c>
      <x:c r="F69" s="6" t="n">
        <x:f>'History'!F68</x:f>
        <x:v>1181.467</x:v>
      </x:c>
      <x:c r="G69" s="6" t="n">
        <x:f>'History'!G68</x:f>
        <x:v>1199.584</x:v>
      </x:c>
      <x:c r="H69" s="2" t="n">
        <x:f>G69+H17-H18+H24</x:f>
        <x:v>1434.1618994</x:v>
      </x:c>
      <x:c r="I69" s="2" t="n">
        <x:f>H69</x:f>
        <x:v>1434.1618994</x:v>
      </x:c>
      <x:c r="J69" s="2" t="n">
        <x:f>I69+J17-J18+J24</x:f>
        <x:v>2008.0000140341042</x:v>
      </x:c>
      <x:c r="K69" s="2" t="n">
        <x:f>J69+K17-K18+K24</x:f>
        <x:v>2719.2516022675773</x:v>
      </x:c>
      <x:c r="L69" s="2" t="n">
        <x:f>K69+L17-L18+L24</x:f>
        <x:v>3540.4489313974414</x:v>
      </x:c>
      <x:c r="M69" s="2" t="n">
        <x:f>L69+M17-M18+M24</x:f>
        <x:v>4456.7353300476125</x:v>
      </x:c>
      <x:c r="N69" s="1"/>
      <x:c r="O69" s="12" t="str">
        <x:v>Common equity rolls by NI less preferred cash dividends plus SBC. No balance sheet plug. No future repurchases or OCI.</x:v>
      </x:c>
    </x:row>
    <x:row r="70" ht="21" customHeight="1">
      <x:c r="A70" s="1"/>
      <x:c r="B70" s="1"/>
      <x:c r="C70" s="29" t="str">
        <x:v>Total liabilities and equity</x:v>
      </x:c>
      <x:c r="D70" s="31" t="n">
        <x:f>D66+D68+D69</x:f>
        <x:v>1536.396</x:v>
      </x:c>
      <x:c r="E70" s="31" t="n">
        <x:f>E66+E68+E69</x:f>
        <x:v>1766.8810000000003</x:v>
      </x:c>
      <x:c r="F70" s="31" t="n">
        <x:f>F66+F68+F69</x:f>
        <x:v>5119.621</x:v>
      </x:c>
      <x:c r="G70" s="31" t="n">
        <x:f>G66+G68+G69</x:f>
        <x:v>5168.151</x:v>
      </x:c>
      <x:c r="H70" s="31" t="n">
        <x:f>H66+H68+H69</x:f>
        <x:v>4999.140831741096</x:v>
      </x:c>
      <x:c r="I70" s="31" t="n">
        <x:f>H70</x:f>
        <x:v>4999.140831741096</x:v>
      </x:c>
      <x:c r="J70" s="31" t="n">
        <x:f>J66+J68+J69</x:f>
        <x:v>5255.5173731436935</x:v>
      </x:c>
      <x:c r="K70" s="31" t="n">
        <x:f>K66+K68+K69</x:f>
        <x:v>6025.705843231687</x:v>
      </x:c>
      <x:c r="L70" s="31" t="n">
        <x:f>L66+L68+L69</x:f>
        <x:v>6891.959993480163</x:v>
      </x:c>
      <x:c r="M70" s="31" t="n">
        <x:f>M66+M68+M69</x:f>
        <x:v>7846.558205473536</x:v>
      </x:c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 t="str">
        <x:v>Balance sheet difference</x:v>
      </x:c>
      <x:c r="D73" s="2" t="n">
        <x:f>D53-D70</x:f>
        <x:v>0</x:v>
      </x:c>
      <x:c r="E73" s="2" t="n">
        <x:f>E53-E70</x:f>
        <x:v>-2.2737367544323206e-13</x:v>
      </x:c>
      <x:c r="F73" s="2" t="n">
        <x:f>F53-F70</x:f>
        <x:v>0</x:v>
      </x:c>
      <x:c r="G73" s="2" t="n">
        <x:f>G53-G70</x:f>
        <x:v>0</x:v>
      </x:c>
      <x:c r="H73" s="2" t="n">
        <x:f>H53-H70</x:f>
        <x:v>0</x:v>
      </x:c>
      <x:c r="I73" s="2" t="n">
        <x:f>H73</x:f>
        <x:v>0</x:v>
      </x:c>
      <x:c r="J73" s="2" t="n">
        <x:f>J53-J70</x:f>
        <x:v>0</x:v>
      </x:c>
      <x:c r="K73" s="2" t="n">
        <x:f>K53-K70</x:f>
        <x:v>0</x:v>
      </x:c>
      <x:c r="L73" s="2" t="n">
        <x:f>L53-L70</x:f>
        <x:v>-9.094947017729282e-13</x:v>
      </x:c>
      <x:c r="M73" s="2" t="n">
        <x:f>M53-M70</x:f>
        <x:v>-9.094947017729282e-13</x:v>
      </x:c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Revenue and operating profit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CELSIUS brand net revenue</x:v>
      </x:c>
      <x:c r="D7" s="2"/>
      <x:c r="E7" s="2"/>
      <x:c r="F7" s="2"/>
      <x:c r="G7" s="6" t="n">
        <x:f>'History'!G7-G8-G9</x:f>
        <x:v>735.04</x:v>
      </x:c>
      <x:c r="H7" s="6" t="n">
        <x:f>G7*(1+'Assumptions'!H8)</x:f>
        <x:v>735.04</x:v>
      </x:c>
      <x:c r="I7" s="2" t="n">
        <x:f>G7+H7</x:f>
        <x:v>1470.08</x:v>
      </x:c>
      <x:c r="J7" s="6" t="n">
        <x:f>I7*(1+'Assumptions'!J8)</x:f>
        <x:v>1587.6864</x:v>
      </x:c>
      <x:c r="K7" s="6" t="n">
        <x:f>J7*(1+'Assumptions'!K8)</x:f>
        <x:v>1698.824448</x:v>
      </x:c>
      <x:c r="L7" s="6" t="n">
        <x:f>K7*(1+'Assumptions'!L8)</x:f>
        <x:v>1800.7539148800001</x:v>
      </x:c>
      <x:c r="M7" s="6" t="n">
        <x:f>L7*(1+'Assumptions'!M8)</x:f>
        <x:v>1890.7916106240002</x:v>
      </x:c>
      <x:c r="N7" s="1"/>
      <x:c r="O7" s="12" t="str">
        <x:v>S04: CELSIUS calculated as consolidated less disclosed Alani and Rockstar. One reported segment; brand-level costs not reported.</x:v>
      </x:c>
    </x:row>
    <x:row r="8" ht="21" customHeight="1">
      <x:c r="A8" s="1"/>
      <x:c r="B8" s="1"/>
      <x:c r="C8" s="1" t="str">
        <x:v>Alani Nu net revenue</x:v>
      </x:c>
      <x:c r="D8" s="2"/>
      <x:c r="E8" s="2"/>
      <x:c r="F8" s="2"/>
      <x:c r="G8" s="11" t="n">
        <x:v>732.4</x:v>
      </x:c>
      <x:c r="H8" s="6" t="n">
        <x:f>G8*(1+'Assumptions'!H14)</x:f>
        <x:v>769.02</x:v>
      </x:c>
      <x:c r="I8" s="2" t="n">
        <x:f>G8+H8</x:f>
        <x:v>1501.42</x:v>
      </x:c>
      <x:c r="J8" s="6" t="n">
        <x:f>I8*(1+'Assumptions'!J14)</x:f>
        <x:v>1771.6756</x:v>
      </x:c>
      <x:c r="K8" s="6" t="n">
        <x:f>J8*(1+'Assumptions'!K14)</x:f>
        <x:v>2019.7101840000003</x:v>
      </x:c>
      <x:c r="L8" s="6" t="n">
        <x:f>K8*(1+'Assumptions'!L14)</x:f>
        <x:v>2221.6812024000005</x:v>
      </x:c>
      <x:c r="M8" s="6" t="n">
        <x:f>L8*(1+'Assumptions'!M14)</x:f>
        <x:v>2399.415698592001</x:v>
      </x:c>
      <x:c r="N8" s="1"/>
      <x:c r="O8" s="1"/>
    </x:row>
    <x:row r="9" ht="21" customHeight="1">
      <x:c r="A9" s="1"/>
      <x:c r="B9" s="1"/>
      <x:c r="C9" s="1" t="str">
        <x:v>Rockstar net revenue</x:v>
      </x:c>
      <x:c r="D9" s="2"/>
      <x:c r="E9" s="2"/>
      <x:c r="F9" s="2"/>
      <x:c r="G9" s="11" t="n">
        <x:v>133.1</x:v>
      </x:c>
      <x:c r="H9" s="6" t="n">
        <x:f>G9*(1+'Assumptions'!H20)</x:f>
        <x:v>129.107</x:v>
      </x:c>
      <x:c r="I9" s="2" t="n">
        <x:f>G9+H9</x:f>
        <x:v>262.207</x:v>
      </x:c>
      <x:c r="J9" s="6" t="n">
        <x:f>I9*(1+'Assumptions'!J20)</x:f>
        <x:v>262.207</x:v>
      </x:c>
      <x:c r="K9" s="6" t="n">
        <x:f>J9*(1+'Assumptions'!K20)</x:f>
        <x:v>264.82907</x:v>
      </x:c>
      <x:c r="L9" s="6" t="n">
        <x:f>K9*(1+'Assumptions'!L20)</x:f>
        <x:v>270.1256514</x:v>
      </x:c>
      <x:c r="M9" s="6" t="n">
        <x:f>L9*(1+'Assumptions'!M20)</x:f>
        <x:v>275.52816442799997</x:v>
      </x:c>
      <x:c r="N9" s="1"/>
      <x:c r="O9" s="1"/>
    </x:row>
    <x:row r="10" ht="21" customHeight="1">
      <x:c r="A10" s="1"/>
      <x:c r="B10" s="1"/>
      <x:c r="C10" s="29" t="str">
        <x:v>Total net revenue</x:v>
      </x:c>
      <x:c r="D10" s="30" t="n">
        <x:f>'History'!D7</x:f>
        <x:v>1318.014</x:v>
      </x:c>
      <x:c r="E10" s="30" t="n">
        <x:f>'History'!E7</x:f>
        <x:v>1355.63</x:v>
      </x:c>
      <x:c r="F10" s="30" t="n">
        <x:f>'History'!F7</x:f>
        <x:v>2515.269</x:v>
      </x:c>
      <x:c r="G10" s="30" t="n">
        <x:f>'History'!G7</x:f>
        <x:v>1600.54</x:v>
      </x:c>
      <x:c r="H10" s="31" t="n">
        <x:f>SUM(H7:H9)</x:f>
        <x:v>1633.167</x:v>
      </x:c>
      <x:c r="I10" s="31" t="n">
        <x:f>G10+H10</x:f>
        <x:v>3233.707</x:v>
      </x:c>
      <x:c r="J10" s="31" t="n">
        <x:f>SUM(J7:J9)</x:f>
        <x:v>3621.569</x:v>
      </x:c>
      <x:c r="K10" s="31" t="n">
        <x:f>SUM(K7:K9)</x:f>
        <x:v>3983.3637020000006</x:v>
      </x:c>
      <x:c r="L10" s="31" t="n">
        <x:f>SUM(L7:L9)</x:f>
        <x:v>4292.56076868</x:v>
      </x:c>
      <x:c r="M10" s="31" t="n">
        <x:f>SUM(M7:M9)</x:f>
        <x:v>4565.735473644001</x:v>
      </x:c>
      <x:c r="N10" s="1"/>
      <x:c r="O10" s="1"/>
    </x:row>
    <x:row r="11" ht="21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 t="str">
        <x:v>Gross profit</x:v>
      </x:c>
      <x:c r="D12" s="6" t="n">
        <x:f>'History'!D9</x:f>
        <x:v>633.1389999999999</x:v>
      </x:c>
      <x:c r="E12" s="6" t="n">
        <x:f>'History'!E9</x:f>
        <x:v>680.2070000000001</x:v>
      </x:c>
      <x:c r="F12" s="6" t="n">
        <x:f>'History'!F9</x:f>
        <x:v>1267.3329999999999</x:v>
      </x:c>
      <x:c r="G12" s="6" t="n">
        <x:f>'History'!G9</x:f>
        <x:v>771.755</x:v>
      </x:c>
      <x:c r="H12" s="6" t="n">
        <x:f>H10*'Assumptions'!H26</x:f>
        <x:v>800.2518299999999</x:v>
      </x:c>
      <x:c r="I12" s="2" t="n">
        <x:f>G12+H12</x:f>
        <x:v>1572.0068299999998</x:v>
      </x:c>
      <x:c r="J12" s="6" t="n">
        <x:f>J10*'Assumptions'!J26</x:f>
        <x:v>1810.7845</x:v>
      </x:c>
      <x:c r="K12" s="6" t="n">
        <x:f>K10*'Assumptions'!K26</x:f>
        <x:v>2011.5986695100003</x:v>
      </x:c>
      <x:c r="L12" s="6" t="n">
        <x:f>L10*'Assumptions'!L26</x:f>
        <x:v>2189.2059920268002</x:v>
      </x:c>
      <x:c r="M12" s="6" t="n">
        <x:f>M10*'Assumptions'!M26</x:f>
        <x:v>2328.5250915584406</x:v>
      </x:c>
      <x:c r="N12" s="1"/>
      <x:c r="O12" s="1"/>
    </x:row>
    <x:row r="13" ht="21" customHeight="1">
      <x:c r="A13" s="1"/>
      <x:c r="B13" s="1"/>
      <x:c r="C13" s="1" t="str">
        <x:v>Cost of revenue</x:v>
      </x:c>
      <x:c r="D13" s="6" t="n">
        <x:f>'History'!D8</x:f>
        <x:v>684.875</x:v>
      </x:c>
      <x:c r="E13" s="6" t="n">
        <x:f>'History'!E8</x:f>
        <x:v>675.423</x:v>
      </x:c>
      <x:c r="F13" s="6" t="n">
        <x:f>'History'!F8</x:f>
        <x:v>1247.936</x:v>
      </x:c>
      <x:c r="G13" s="6" t="n">
        <x:f>'History'!G8</x:f>
        <x:v>828.785</x:v>
      </x:c>
      <x:c r="H13" s="2" t="n">
        <x:f>H10-H12</x:f>
        <x:v>832.91517</x:v>
      </x:c>
      <x:c r="I13" s="2" t="n">
        <x:f>G13+H13</x:f>
        <x:v>1661.70017</x:v>
      </x:c>
      <x:c r="J13" s="2" t="n">
        <x:f>J10-J12</x:f>
        <x:v>1810.7845</x:v>
      </x:c>
      <x:c r="K13" s="2" t="n">
        <x:f>K10-K12</x:f>
        <x:v>1971.7650324900003</x:v>
      </x:c>
      <x:c r="L13" s="2" t="n">
        <x:f>L10-L12</x:f>
        <x:v>2103.3547766532</x:v>
      </x:c>
      <x:c r="M13" s="2" t="n">
        <x:f>M10-M12</x:f>
        <x:v>2237.2103820855605</x:v>
      </x:c>
      <x:c r="N13" s="1"/>
      <x:c r="O13" s="1"/>
    </x:row>
    <x:row r="14" ht="21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 t="str">
        <x:v>Cash SG&amp;A</x:v>
      </x:c>
      <x:c r="D15" s="2"/>
      <x:c r="E15" s="2"/>
      <x:c r="F15" s="2"/>
      <x:c r="G15" s="6" t="n">
        <x:f>'History'!G10-G16-G17</x:f>
        <x:v>442.22900000000004</x:v>
      </x:c>
      <x:c r="H15" s="6" t="n">
        <x:f>H10*'Assumptions'!H32</x:f>
        <x:v>437.688756</x:v>
      </x:c>
      <x:c r="I15" s="2" t="n">
        <x:f>G15+H15</x:f>
        <x:v>879.917756</x:v>
      </x:c>
      <x:c r="J15" s="6" t="n">
        <x:f>J10*'Assumptions'!J32</x:f>
        <x:v>941.60794</x:v>
      </x:c>
      <x:c r="K15" s="6" t="n">
        <x:f>K10*'Assumptions'!K32</x:f>
        <x:v>1015.7577440100001</x:v>
      </x:c>
      <x:c r="L15" s="6" t="n">
        <x:f>L10*'Assumptions'!L32</x:f>
        <x:v>1073.14019217</x:v>
      </x:c>
      <x:c r="M15" s="6" t="n">
        <x:f>M10*'Assumptions'!M32</x:f>
        <x:v>1132.3023974637122</x:v>
      </x:c>
      <x:c r="N15" s="1"/>
      <x:c r="O15" s="1"/>
    </x:row>
    <x:row r="16" ht="21" customHeight="1">
      <x:c r="A16" s="1"/>
      <x:c r="B16" s="1"/>
      <x:c r="C16" s="1" t="str">
        <x:v>Stock-based compensation</x:v>
      </x:c>
      <x:c r="D16" s="6" t="n">
        <x:f>'History'!D27</x:f>
        <x:v>21.226</x:v>
      </x:c>
      <x:c r="E16" s="6" t="n">
        <x:f>'History'!E27</x:f>
        <x:v>19.591</x:v>
      </x:c>
      <x:c r="F16" s="6" t="n">
        <x:f>'History'!F27</x:f>
        <x:v>28.05</x:v>
      </x:c>
      <x:c r="G16" s="6" t="n">
        <x:f>'History'!G27</x:f>
        <x:v>18.191</x:v>
      </x:c>
      <x:c r="H16" s="6" t="n">
        <x:f>H10*'Assumptions'!$D$70</x:f>
        <x:v>19.598004</x:v>
      </x:c>
      <x:c r="I16" s="2" t="n">
        <x:f>G16+H16</x:f>
        <x:v>37.789004</x:v>
      </x:c>
      <x:c r="J16" s="6" t="n">
        <x:f>J10*'Assumptions'!$D$70</x:f>
        <x:v>43.458828</x:v>
      </x:c>
      <x:c r="K16" s="6" t="n">
        <x:f>K10*'Assumptions'!$D$70</x:f>
        <x:v>47.80036442400001</x:v>
      </x:c>
      <x:c r="L16" s="6" t="n">
        <x:f>L10*'Assumptions'!$D$70</x:f>
        <x:v>51.51072922416</x:v>
      </x:c>
      <x:c r="M16" s="6" t="n">
        <x:f>M10*'Assumptions'!$D$70</x:f>
        <x:v>54.788825683728014</x:v>
      </x:c>
      <x:c r="N16" s="1"/>
      <x:c r="O16" s="1"/>
    </x:row>
    <x:row r="17" ht="21" customHeight="1">
      <x:c r="A17" s="1"/>
      <x:c r="B17" s="1"/>
      <x:c r="C17" s="1" t="str">
        <x:v>Intangible amortisation</x:v>
      </x:c>
      <x:c r="D17" s="2"/>
      <x:c r="E17" s="2"/>
      <x:c r="F17" s="2"/>
      <x:c r="G17" s="11" t="n">
        <x:v>11.8</x:v>
      </x:c>
      <x:c r="H17" s="6" t="n">
        <x:f>'CapitalWC'!H17</x:f>
        <x:v>11.818</x:v>
      </x:c>
      <x:c r="I17" s="2" t="n">
        <x:f>G17+H17</x:f>
        <x:v>23.618000000000002</x:v>
      </x:c>
      <x:c r="J17" s="6" t="n">
        <x:f>'CapitalWC'!J17</x:f>
        <x:v>23.608</x:v>
      </x:c>
      <x:c r="K17" s="6" t="n">
        <x:f>'CapitalWC'!K17</x:f>
        <x:v>23.469</x:v>
      </x:c>
      <x:c r="L17" s="6" t="n">
        <x:f>'CapitalWC'!L17</x:f>
        <x:v>23.469</x:v>
      </x:c>
      <x:c r="M17" s="6" t="n">
        <x:f>'CapitalWC'!M17</x:f>
        <x:v>6.795</x:v>
      </x:c>
      <x:c r="N17" s="1"/>
      <x:c r="O17" s="1"/>
    </x:row>
    <x:row r="18" ht="21" customHeight="1">
      <x:c r="A18" s="1"/>
      <x:c r="B18" s="1"/>
      <x:c r="C18" s="1" t="str">
        <x:v>Distributor termination / other one-offs</x:v>
      </x:c>
      <x:c r="D18" s="6" t="n">
        <x:f>'History'!D11</x:f>
        <x:v>0</x:v>
      </x:c>
      <x:c r="E18" s="6" t="n">
        <x:f>'History'!E11</x:f>
        <x:v>0</x:v>
      </x:c>
      <x:c r="F18" s="6" t="n">
        <x:f>'History'!F11</x:f>
        <x:v>327.461</x:v>
      </x:c>
      <x:c r="G18" s="6" t="n">
        <x:f>'History'!G11</x:f>
        <x:v>85.287</x:v>
      </x:c>
      <x:c r="H18" s="11" t="n">
        <x:v>0</x:v>
      </x:c>
      <x:c r="I18" s="2" t="n">
        <x:f>G18+H18</x:f>
        <x:v>85.287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"/>
      <x:c r="O18" s="1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29" t="str">
        <x:v>EBIT</x:v>
      </x:c>
      <x:c r="D20" s="30" t="n">
        <x:f>'History'!D12</x:f>
        <x:v>266.3659999999999</x:v>
      </x:c>
      <x:c r="E20" s="30" t="n">
        <x:f>'History'!E12</x:f>
        <x:v>155.72800000000007</x:v>
      </x:c>
      <x:c r="F20" s="30" t="n">
        <x:f>'History'!F12</x:f>
        <x:v>141.0619999999999</x:v>
      </x:c>
      <x:c r="G20" s="30" t="n">
        <x:f>'History'!G12</x:f>
        <x:v>214.24799999999996</x:v>
      </x:c>
      <x:c r="H20" s="31" t="n">
        <x:f>H12-SUM(H15:H18)</x:f>
        <x:v>331.1470699999999</x:v>
      </x:c>
      <x:c r="I20" s="31" t="n">
        <x:f>G20+H20</x:f>
        <x:v>545.3950699999999</x:v>
      </x:c>
      <x:c r="J20" s="31" t="n">
        <x:f>J12-SUM(J15:J18)</x:f>
        <x:v>802.109732</x:v>
      </x:c>
      <x:c r="K20" s="31" t="n">
        <x:f>K12-SUM(K15:K18)</x:f>
        <x:v>924.5715610760001</x:v>
      </x:c>
      <x:c r="L20" s="31" t="n">
        <x:f>L12-SUM(L15:L18)</x:f>
        <x:v>1041.08607063264</x:v>
      </x:c>
      <x:c r="M20" s="31" t="n">
        <x:f>M12-SUM(M15:M18)</x:f>
        <x:v>1134.6388684110004</x:v>
      </x:c>
      <x:c r="N20" s="1"/>
      <x:c r="O20" s="1"/>
    </x:row>
    <x:row r="21" ht="21" customHeight="1">
      <x:c r="A21" s="1"/>
      <x:c r="B21" s="1"/>
      <x:c r="C21" s="1" t="str">
        <x:v>Depreciation plus intangible amortisation</x:v>
      </x:c>
      <x:c r="D21" s="6" t="n">
        <x:f>'History'!D26</x:f>
        <x:v>3.226</x:v>
      </x:c>
      <x:c r="E21" s="6" t="n">
        <x:f>'History'!E26</x:f>
        <x:v>7.274</x:v>
      </x:c>
      <x:c r="F21" s="6" t="n">
        <x:f>'History'!F26</x:f>
        <x:v>29.451</x:v>
      </x:c>
      <x:c r="G21" s="6" t="n">
        <x:f>'History'!G26</x:f>
        <x:v>19.238</x:v>
      </x:c>
      <x:c r="H21" s="6" t="n">
        <x:f>'CapitalWC'!H12+H17</x:f>
        <x:v>15.35231</x:v>
      </x:c>
      <x:c r="I21" s="2" t="n">
        <x:f>G21+H21</x:f>
        <x:v>34.59031</x:v>
      </x:c>
      <x:c r="J21" s="6" t="n">
        <x:f>'CapitalWC'!J12+J17</x:f>
        <x:v>32.35769524</x:v>
      </x:c>
      <x:c r="K21" s="6" t="n">
        <x:f>'CapitalWC'!K12+K17</x:f>
        <x:v>35.887200779400004</x:v>
      </x:c>
      <x:c r="L21" s="6" t="n">
        <x:f>'CapitalWC'!L12+L17</x:f>
        <x:v>39.740553260079</x:v>
      </x:c>
      <x:c r="M21" s="6" t="n">
        <x:f>'CapitalWC'!M12+M17</x:f>
        <x:v>27.031198397529465</x:v>
      </x:c>
      <x:c r="N21" s="1"/>
      <x:c r="O21" s="1"/>
    </x:row>
    <x:row r="22" ht="21" customHeight="1">
      <x:c r="A22" s="1"/>
      <x:c r="B22" s="1"/>
      <x:c r="C22" s="29" t="str">
        <x:v>EBITDA, SBC retained</x:v>
      </x:c>
      <x:c r="D22" s="30" t="n">
        <x:f>'History'!D80</x:f>
        <x:v>269.59199999999987</x:v>
      </x:c>
      <x:c r="E22" s="30" t="n">
        <x:f>'History'!E80</x:f>
        <x:v>163.00200000000007</x:v>
      </x:c>
      <x:c r="F22" s="30" t="n">
        <x:f>'History'!F80</x:f>
        <x:v>170.5129999999999</x:v>
      </x:c>
      <x:c r="G22" s="30" t="n">
        <x:f>'History'!G80</x:f>
        <x:v>233.48599999999996</x:v>
      </x:c>
      <x:c r="H22" s="31" t="n">
        <x:f>H20+H21</x:f>
        <x:v>346.4993799999999</x:v>
      </x:c>
      <x:c r="I22" s="31" t="n">
        <x:f>G22+H22</x:f>
        <x:v>579.9853799999999</x:v>
      </x:c>
      <x:c r="J22" s="31" t="n">
        <x:f>J20+J21</x:f>
        <x:v>834.46742724</x:v>
      </x:c>
      <x:c r="K22" s="31" t="n">
        <x:f>K20+K21</x:f>
        <x:v>960.4587618554001</x:v>
      </x:c>
      <x:c r="L22" s="31" t="n">
        <x:f>L20+L21</x:f>
        <x:v>1080.826623892719</x:v>
      </x:c>
      <x:c r="M22" s="31" t="n">
        <x:f>M20+M21</x:f>
        <x:v>1161.67006680853</x:v>
      </x:c>
      <x:c r="N22" s="1"/>
      <x:c r="O22" s="1"/>
    </x:row>
    <x:row r="23" ht="21" customHeight="1">
      <x:c r="A23" s="1"/>
      <x:c r="B23" s="1"/>
      <x:c r="C23" s="1" t="str">
        <x:v>EBITDA margin</x:v>
      </x:c>
      <x:c r="D23" s="18" t="n">
        <x:f>D22/D10</x:f>
        <x:v>0.204544109546636</x:v>
      </x:c>
      <x:c r="E23" s="18" t="n">
        <x:f>E22/E10</x:f>
        <x:v>0.12024077366243005</x:v>
      </x:c>
      <x:c r="F23" s="18" t="n">
        <x:f>F22/F10</x:f>
        <x:v>0.06779115871900775</x:v>
      </x:c>
      <x:c r="G23" s="18" t="n">
        <x:f>G22/G10</x:f>
        <x:v>0.14587951566346355</x:v>
      </x:c>
      <x:c r="H23" s="18" t="n">
        <x:f>H22/H10</x:f>
        <x:v>0.21216408364851846</x:v>
      </x:c>
      <x:c r="I23" s="18" t="n">
        <x:f>I22/I10</x:f>
        <x:v>0.17935619399036457</x:v>
      </x:c>
      <x:c r="J23" s="18" t="n">
        <x:f>J22/J10</x:f>
        <x:v>0.23041599573002752</x:v>
      </x:c>
      <x:c r="K23" s="18" t="n">
        <x:f>K22/K10</x:f>
        <x:v>0.24111751617688462</x:v>
      </x:c>
      <x:c r="L23" s="18" t="n">
        <x:f>L22/L10</x:f>
        <x:v>0.2517906401649108</x:v>
      </x:c>
      <x:c r="M23" s="18" t="n">
        <x:f>M22/M10</x:f>
        <x:v>0.254432188092005</x:v>
      </x:c>
      <x:c r="N23" s="1"/>
      <x:c r="O23" s="1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Working capital, assets and deferred balances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Opening PP&amp;E</x:v>
      </x:c>
      <x:c r="D7" s="2"/>
      <x:c r="E7" s="2"/>
      <x:c r="F7" s="2"/>
      <x:c r="G7" s="2"/>
      <x:c r="H7" s="2" t="n">
        <x:f>G13</x:f>
        <x:v>108.748</x:v>
      </x:c>
      <x:c r="I7" s="2" t="n">
        <x:f>H7</x:f>
        <x:v>108.748</x:v>
      </x:c>
      <x:c r="J7" s="2" t="n">
        <x:f>I13</x:f>
        <x:v>134.610696</x:v>
      </x:c>
      <x:c r="K7" s="2" t="n">
        <x:f>J13</x:f>
        <x:v>191.04924275999997</x:v>
      </x:c>
      <x:c r="L7" s="2" t="n">
        <x:f>K13</x:f>
        <x:v>250.3315886166</x:v>
      </x:c>
      <x:c r="M7" s="2" t="n">
        <x:f>L13</x:f>
        <x:v>311.326129192761</x:v>
      </x:c>
      <x:c r="N7" s="1"/>
      <x:c r="O7" s="1"/>
    </x:row>
    <x:row r="8" ht="21" customHeight="1">
      <x:c r="A8" s="1"/>
      <x:c r="B8" s="1"/>
      <x:c r="C8" s="1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1"/>
      <x:c r="O8" s="1"/>
    </x:row>
    <x:row r="9" ht="21" customHeight="1">
      <x:c r="A9" s="1"/>
      <x:c r="B9" s="1"/>
      <x:c r="C9" s="1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1"/>
      <x:c r="O9" s="1"/>
    </x:row>
    <x:row r="10" ht="21" customHeight="1">
      <x:c r="A10" s="1"/>
      <x:c r="B10" s="1"/>
      <x:c r="C10" s="1" t="str">
        <x:v>Capital expenditure</x:v>
      </x:c>
      <x:c r="D10" s="6" t="n">
        <x:f>'History'!D30</x:f>
        <x:v>17.433</x:v>
      </x:c>
      <x:c r="E10" s="6" t="n">
        <x:f>'History'!E30</x:f>
        <x:v>23.39</x:v>
      </x:c>
      <x:c r="F10" s="6" t="n">
        <x:f>'History'!F30</x:f>
        <x:v>36.067</x:v>
      </x:c>
      <x:c r="G10" s="6" t="n">
        <x:f>'History'!G30</x:f>
        <x:v>24.982</x:v>
      </x:c>
      <x:c r="H10" s="6" t="n">
        <x:f>'Operations'!H10*'Assumptions'!$D$71</x:f>
        <x:v>29.397005999999998</x:v>
      </x:c>
      <x:c r="I10" s="2" t="n">
        <x:f>G10+H10</x:f>
        <x:v>54.379006</x:v>
      </x:c>
      <x:c r="J10" s="6" t="n">
        <x:f>'Operations'!J10*'Assumptions'!$D$71</x:f>
        <x:v>65.18824199999999</x:v>
      </x:c>
      <x:c r="K10" s="6" t="n">
        <x:f>'Operations'!K10*'Assumptions'!$D$71</x:f>
        <x:v>71.700546636</x:v>
      </x:c>
      <x:c r="L10" s="6" t="n">
        <x:f>'Operations'!L10*'Assumptions'!$D$71</x:f>
        <x:v>77.26609383624</x:v>
      </x:c>
      <x:c r="M10" s="6" t="n">
        <x:f>'Operations'!M10*'Assumptions'!$D$71</x:f>
        <x:v>82.18323852559202</x:v>
      </x:c>
      <x:c r="N10" s="1"/>
      <x:c r="O10" s="1"/>
    </x:row>
    <x:row r="11" ht="21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 t="str">
        <x:v>Depreciation</x:v>
      </x:c>
      <x:c r="D12" s="2"/>
      <x:c r="E12" s="2"/>
      <x:c r="F12" s="2"/>
      <x:c r="G12" s="2"/>
      <x:c r="H12" s="6" t="n">
        <x:f>MIN(H7,H7*'Assumptions'!$D$72*0.5)</x:f>
        <x:v>3.53431</x:v>
      </x:c>
      <x:c r="I12" s="2" t="n">
        <x:f>G12+H12</x:f>
        <x:v>3.53431</x:v>
      </x:c>
      <x:c r="J12" s="6" t="n">
        <x:f>MIN(J7,J7*'Assumptions'!$D$72*1)</x:f>
        <x:v>8.74969524</x:v>
      </x:c>
      <x:c r="K12" s="6" t="n">
        <x:f>MIN(K7,K7*'Assumptions'!$D$72*1)</x:f>
        <x:v>12.4182007794</x:v>
      </x:c>
      <x:c r="L12" s="6" t="n">
        <x:f>MIN(L7,L7*'Assumptions'!$D$72*1)</x:f>
        <x:v>16.271553260079</x:v>
      </x:c>
      <x:c r="M12" s="6" t="n">
        <x:f>MIN(M7,M7*'Assumptions'!$D$72*1)</x:f>
        <x:v>20.236198397529467</x:v>
      </x:c>
      <x:c r="N12" s="1"/>
      <x:c r="O12" s="1"/>
    </x:row>
    <x:row r="13" ht="21" customHeight="1">
      <x:c r="A13" s="1"/>
      <x:c r="B13" s="1"/>
      <x:c r="C13" s="1" t="str">
        <x:v>Closing PP&amp;E</x:v>
      </x:c>
      <x:c r="D13" s="6" t="n">
        <x:f>'History'!D47</x:f>
        <x:v>24.868</x:v>
      </x:c>
      <x:c r="E13" s="6" t="n">
        <x:f>'History'!E47</x:f>
        <x:v>55.602</x:v>
      </x:c>
      <x:c r="F13" s="6" t="n">
        <x:f>'History'!F47</x:f>
        <x:v>87.91</x:v>
      </x:c>
      <x:c r="G13" s="6" t="n">
        <x:f>'History'!G47</x:f>
        <x:v>108.748</x:v>
      </x:c>
      <x:c r="H13" s="2" t="n">
        <x:f>H7+H10-H12</x:f>
        <x:v>134.610696</x:v>
      </x:c>
      <x:c r="I13" s="2" t="n">
        <x:f>H13</x:f>
        <x:v>134.610696</x:v>
      </x:c>
      <x:c r="J13" s="2" t="n">
        <x:f>J7+J10-J12</x:f>
        <x:v>191.04924275999997</x:v>
      </x:c>
      <x:c r="K13" s="2" t="n">
        <x:f>K7+K10-K12</x:f>
        <x:v>250.3315886166</x:v>
      </x:c>
      <x:c r="L13" s="2" t="n">
        <x:f>L7+L10-L12</x:f>
        <x:v>311.326129192761</x:v>
      </x:c>
      <x:c r="M13" s="2" t="n">
        <x:f>M7+M10-M12</x:f>
        <x:v>373.27316932082357</x:v>
      </x:c>
      <x:c r="N13" s="1"/>
      <x:c r="O13" s="1"/>
    </x:row>
    <x:row r="14" ht="21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 t="str">
        <x:v>Opening intangible assets</x:v>
      </x:c>
      <x:c r="D15" s="2"/>
      <x:c r="E15" s="2"/>
      <x:c r="F15" s="2"/>
      <x:c r="G15" s="2"/>
      <x:c r="H15" s="2" t="n">
        <x:f>G18</x:f>
        <x:v>1379.751</x:v>
      </x:c>
      <x:c r="I15" s="2" t="n">
        <x:f>H15</x:f>
        <x:v>1379.751</x:v>
      </x:c>
      <x:c r="J15" s="2" t="n">
        <x:f>I18</x:f>
        <x:v>1367.933</x:v>
      </x:c>
      <x:c r="K15" s="2" t="n">
        <x:f>J18</x:f>
        <x:v>1344.325</x:v>
      </x:c>
      <x:c r="L15" s="2" t="n">
        <x:f>K18</x:f>
        <x:v>1320.856</x:v>
      </x:c>
      <x:c r="M15" s="2" t="n">
        <x:f>L18</x:f>
        <x:v>1297.387</x:v>
      </x:c>
      <x:c r="N15" s="1"/>
      <x:c r="O15" s="1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1"/>
      <x:c r="O16" s="1"/>
    </x:row>
    <x:row r="17" ht="21" customHeight="1">
      <x:c r="A17" s="1"/>
      <x:c r="B17" s="1"/>
      <x:c r="C17" s="1" t="str">
        <x:v>Intangible amortisation</x:v>
      </x:c>
      <x:c r="D17" s="2"/>
      <x:c r="E17" s="2"/>
      <x:c r="F17" s="2"/>
      <x:c r="G17" s="2"/>
      <x:c r="H17" s="11" t="n">
        <x:v>11.818</x:v>
      </x:c>
      <x:c r="I17" s="2" t="n">
        <x:f>G17+H17</x:f>
        <x:v>11.818</x:v>
      </x:c>
      <x:c r="J17" s="11" t="n">
        <x:v>23.608</x:v>
      </x:c>
      <x:c r="K17" s="11" t="n">
        <x:v>23.469</x:v>
      </x:c>
      <x:c r="L17" s="11" t="n">
        <x:v>23.469</x:v>
      </x:c>
      <x:c r="M17" s="11" t="n">
        <x:v>6.795</x:v>
      </x:c>
      <x:c r="N17" s="1"/>
      <x:c r="O17" s="12" t="str">
        <x:v>S03 note 7 disclosed remaining amortisation. New intangible acquisitions excluded.</x:v>
      </x:c>
    </x:row>
    <x:row r="18" ht="21" customHeight="1">
      <x:c r="A18" s="1"/>
      <x:c r="B18" s="1"/>
      <x:c r="C18" s="1" t="str">
        <x:v>Closing intangible assets</x:v>
      </x:c>
      <x:c r="D18" s="6" t="n">
        <x:f>'History'!D48</x:f>
        <x:v>12.139</x:v>
      </x:c>
      <x:c r="E18" s="6" t="n">
        <x:f>'History'!E48</x:f>
        <x:v>12.213</x:v>
      </x:c>
      <x:c r="F18" s="6" t="n">
        <x:f>'History'!F48</x:f>
        <x:v>1391.915</x:v>
      </x:c>
      <x:c r="G18" s="6" t="n">
        <x:f>'History'!G48</x:f>
        <x:v>1379.751</x:v>
      </x:c>
      <x:c r="H18" s="2" t="n">
        <x:f>H15-H17</x:f>
        <x:v>1367.933</x:v>
      </x:c>
      <x:c r="I18" s="2" t="n">
        <x:f>H18</x:f>
        <x:v>1367.933</x:v>
      </x:c>
      <x:c r="J18" s="2" t="n">
        <x:f>J15-J17</x:f>
        <x:v>1344.325</x:v>
      </x:c>
      <x:c r="K18" s="2" t="n">
        <x:f>K15-K17</x:f>
        <x:v>1320.856</x:v>
      </x:c>
      <x:c r="L18" s="2" t="n">
        <x:f>L15-L17</x:f>
        <x:v>1297.387</x:v>
      </x:c>
      <x:c r="M18" s="2" t="n">
        <x:f>M15-M17</x:f>
        <x:v>1290.5919999999999</x:v>
      </x:c>
      <x:c r="N18" s="1"/>
      <x:c r="O18" s="1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 t="str">
        <x:v>Opening deferred customer costs</x:v>
      </x:c>
      <x:c r="D20" s="2"/>
      <x:c r="E20" s="2"/>
      <x:c r="F20" s="2"/>
      <x:c r="G20" s="2"/>
      <x:c r="H20" s="2" t="n">
        <x:f>G22</x:f>
        <x:v>796.209</x:v>
      </x:c>
      <x:c r="I20" s="2" t="n">
        <x:f>H20</x:f>
        <x:v>796.209</x:v>
      </x:c>
      <x:c r="J20" s="2" t="n">
        <x:f>I22</x:f>
        <x:v>771.473</x:v>
      </x:c>
      <x:c r="K20" s="2" t="n">
        <x:f>J22</x:f>
        <x:v>722.001</x:v>
      </x:c>
      <x:c r="L20" s="2" t="n">
        <x:f>K22</x:f>
        <x:v>672.529</x:v>
      </x:c>
      <x:c r="M20" s="2" t="n">
        <x:f>L22</x:f>
        <x:v>623.057</x:v>
      </x:c>
      <x:c r="N20" s="1"/>
      <x:c r="O20" s="1"/>
    </x:row>
    <x:row r="21" ht="21" customHeight="1">
      <x:c r="A21" s="1"/>
      <x:c r="B21" s="1"/>
      <x:c r="C21" s="1" t="str">
        <x:v>Customer cost amortisation</x:v>
      </x:c>
      <x:c r="D21" s="2"/>
      <x:c r="E21" s="2"/>
      <x:c r="F21" s="2"/>
      <x:c r="G21" s="2"/>
      <x:c r="H21" s="6" t="n">
        <x:f>MIN(H20,'Assumptions'!$D$116*0.5)</x:f>
        <x:v>24.736</x:v>
      </x:c>
      <x:c r="I21" s="2" t="n">
        <x:f>G21+H21</x:f>
        <x:v>24.736</x:v>
      </x:c>
      <x:c r="J21" s="6" t="n">
        <x:f>MIN(J20,'Assumptions'!$D$116*1)</x:f>
        <x:v>49.472</x:v>
      </x:c>
      <x:c r="K21" s="6" t="n">
        <x:f>MIN(K20,'Assumptions'!$D$116*1)</x:f>
        <x:v>49.472</x:v>
      </x:c>
      <x:c r="L21" s="6" t="n">
        <x:f>MIN(L20,'Assumptions'!$D$116*1)</x:f>
        <x:v>49.472</x:v>
      </x:c>
      <x:c r="M21" s="6" t="n">
        <x:f>MIN(M20,'Assumptions'!$D$116*1)</x:f>
        <x:v>49.472</x:v>
      </x:c>
      <x:c r="N21" s="1"/>
      <x:c r="O21" s="1"/>
    </x:row>
    <x:row r="22" ht="21" customHeight="1">
      <x:c r="A22" s="1"/>
      <x:c r="B22" s="1"/>
      <x:c r="C22" s="1" t="str">
        <x:v>Closing deferred customer costs</x:v>
      </x:c>
      <x:c r="D22" s="6" t="n">
        <x:f>'History'!D46</x:f>
        <x:v>262.462</x:v>
      </x:c>
      <x:c r="E22" s="6" t="n">
        <x:f>'History'!E46</x:f>
        <x:v>248.339</x:v>
      </x:c>
      <x:c r="F22" s="6" t="n">
        <x:f>'History'!F46</x:f>
        <x:v>820.799</x:v>
      </x:c>
      <x:c r="G22" s="6" t="n">
        <x:f>'History'!G46</x:f>
        <x:v>796.209</x:v>
      </x:c>
      <x:c r="H22" s="2" t="n">
        <x:f>H20-H21</x:f>
        <x:v>771.473</x:v>
      </x:c>
      <x:c r="I22" s="2" t="n">
        <x:f>H22</x:f>
        <x:v>771.473</x:v>
      </x:c>
      <x:c r="J22" s="2" t="n">
        <x:f>J20-J21</x:f>
        <x:v>722.001</x:v>
      </x:c>
      <x:c r="K22" s="2" t="n">
        <x:f>K20-K21</x:f>
        <x:v>672.529</x:v>
      </x:c>
      <x:c r="L22" s="2" t="n">
        <x:f>L20-L21</x:f>
        <x:v>623.057</x:v>
      </x:c>
      <x:c r="M22" s="2" t="n">
        <x:f>M20-M21</x:f>
        <x:v>573.585</x:v>
      </x:c>
      <x:c r="N22" s="1"/>
      <x:c r="O22" s="1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 t="str">
        <x:v>Opening deferred revenue</x:v>
      </x:c>
      <x:c r="D24" s="2"/>
      <x:c r="E24" s="2"/>
      <x:c r="F24" s="2"/>
      <x:c r="G24" s="2"/>
      <x:c r="H24" s="2" t="n">
        <x:f>G26</x:f>
        <x:v>495.316</x:v>
      </x:c>
      <x:c r="I24" s="2" t="n">
        <x:f>H24</x:f>
        <x:v>495.316</x:v>
      </x:c>
      <x:c r="J24" s="2" t="n">
        <x:f>I26</x:f>
        <x:v>479.58599999999996</x:v>
      </x:c>
      <x:c r="K24" s="2" t="n">
        <x:f>J26</x:f>
        <x:v>448.126</x:v>
      </x:c>
      <x:c r="L24" s="2" t="n">
        <x:f>K26</x:f>
        <x:v>416.666</x:v>
      </x:c>
      <x:c r="M24" s="2" t="n">
        <x:f>L26</x:f>
        <x:v>385.206</x:v>
      </x:c>
      <x:c r="N24" s="1"/>
      <x:c r="O24" s="1"/>
    </x:row>
    <x:row r="25" ht="21" customHeight="1">
      <x:c r="A25" s="1"/>
      <x:c r="B25" s="1"/>
      <x:c r="C25" s="1" t="str">
        <x:v>Deferred revenue release</x:v>
      </x:c>
      <x:c r="D25" s="2"/>
      <x:c r="E25" s="2"/>
      <x:c r="F25" s="2"/>
      <x:c r="G25" s="2"/>
      <x:c r="H25" s="6" t="n">
        <x:f>MIN(H24,'Assumptions'!$D$115*0.5)</x:f>
        <x:v>15.73</x:v>
      </x:c>
      <x:c r="I25" s="2" t="n">
        <x:f>G25+H25</x:f>
        <x:v>15.73</x:v>
      </x:c>
      <x:c r="J25" s="6" t="n">
        <x:f>MIN(J24,'Assumptions'!$D$115*1)</x:f>
        <x:v>31.46</x:v>
      </x:c>
      <x:c r="K25" s="6" t="n">
        <x:f>MIN(K24,'Assumptions'!$D$115*1)</x:f>
        <x:v>31.46</x:v>
      </x:c>
      <x:c r="L25" s="6" t="n">
        <x:f>MIN(L24,'Assumptions'!$D$115*1)</x:f>
        <x:v>31.46</x:v>
      </x:c>
      <x:c r="M25" s="6" t="n">
        <x:f>MIN(M24,'Assumptions'!$D$115*1)</x:f>
        <x:v>31.46</x:v>
      </x:c>
      <x:c r="N25" s="1"/>
      <x:c r="O25" s="1"/>
    </x:row>
    <x:row r="26" ht="21" customHeight="1">
      <x:c r="A26" s="1"/>
      <x:c r="B26" s="1"/>
      <x:c r="C26" s="1" t="str">
        <x:v>Closing deferred revenue</x:v>
      </x:c>
      <x:c r="D26" s="6" t="n">
        <x:f>'History'!D61</x:f>
        <x:v>176.74</x:v>
      </x:c>
      <x:c r="E26" s="6" t="n">
        <x:f>'History'!E61</x:f>
        <x:v>167.227</x:v>
      </x:c>
      <x:c r="F26" s="6" t="n">
        <x:f>'History'!F61</x:f>
        <x:v>428.143</x:v>
      </x:c>
      <x:c r="G26" s="6" t="n">
        <x:f>'History'!G61</x:f>
        <x:v>495.316</x:v>
      </x:c>
      <x:c r="H26" s="2" t="n">
        <x:f>H24-H25</x:f>
        <x:v>479.58599999999996</x:v>
      </x:c>
      <x:c r="I26" s="2" t="n">
        <x:f>H26</x:f>
        <x:v>479.58599999999996</x:v>
      </x:c>
      <x:c r="J26" s="2" t="n">
        <x:f>J24-J25</x:f>
        <x:v>448.126</x:v>
      </x:c>
      <x:c r="K26" s="2" t="n">
        <x:f>K24-K25</x:f>
        <x:v>416.666</x:v>
      </x:c>
      <x:c r="L26" s="2" t="n">
        <x:f>L24-L25</x:f>
        <x:v>385.206</x:v>
      </x:c>
      <x:c r="M26" s="2" t="n">
        <x:f>M24-M25</x:f>
        <x:v>353.74600000000004</x:v>
      </x:c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 t="str">
        <x:v>Opening deferred tax assets</x:v>
      </x:c>
      <x:c r="D28" s="2"/>
      <x:c r="E28" s="2"/>
      <x:c r="F28" s="2"/>
      <x:c r="G28" s="2"/>
      <x:c r="H28" s="2" t="n">
        <x:f>G30</x:f>
        <x:v>93.25</x:v>
      </x:c>
      <x:c r="I28" s="2" t="n">
        <x:f>H28</x:f>
        <x:v>93.25</x:v>
      </x:c>
      <x:c r="J28" s="2" t="n">
        <x:f>I30</x:f>
        <x:v>90.75</x:v>
      </x:c>
      <x:c r="K28" s="2" t="n">
        <x:f>J30</x:f>
        <x:v>85.75</x:v>
      </x:c>
      <x:c r="L28" s="2" t="n">
        <x:f>K30</x:f>
        <x:v>80.75</x:v>
      </x:c>
      <x:c r="M28" s="2" t="n">
        <x:f>L30</x:f>
        <x:v>75.75</x:v>
      </x:c>
      <x:c r="N28" s="1"/>
      <x:c r="O28" s="1"/>
    </x:row>
    <x:row r="29" ht="21" customHeight="1">
      <x:c r="A29" s="1"/>
      <x:c r="B29" s="1"/>
      <x:c r="C29" s="1" t="str">
        <x:v>Deferred tax expense / DTA run-off</x:v>
      </x:c>
      <x:c r="D29" s="2"/>
      <x:c r="E29" s="2"/>
      <x:c r="F29" s="2"/>
      <x:c r="G29" s="2"/>
      <x:c r="H29" s="6" t="n">
        <x:f>MIN(H28,'Assumptions'!$D$117*0.5)</x:f>
        <x:v>2.5</x:v>
      </x:c>
      <x:c r="I29" s="2" t="n">
        <x:f>G29+H29</x:f>
        <x:v>2.5</x:v>
      </x:c>
      <x:c r="J29" s="6" t="n">
        <x:f>MIN(J28,'Assumptions'!$D$117*1)</x:f>
        <x:v>5</x:v>
      </x:c>
      <x:c r="K29" s="6" t="n">
        <x:f>MIN(K28,'Assumptions'!$D$117*1)</x:f>
        <x:v>5</x:v>
      </x:c>
      <x:c r="L29" s="6" t="n">
        <x:f>MIN(L28,'Assumptions'!$D$117*1)</x:f>
        <x:v>5</x:v>
      </x:c>
      <x:c r="M29" s="6" t="n">
        <x:f>MIN(M28,'Assumptions'!$D$117*1)</x:f>
        <x:v>5</x:v>
      </x:c>
      <x:c r="N29" s="1"/>
      <x:c r="O29" s="1"/>
    </x:row>
    <x:row r="30" ht="21" customHeight="1">
      <x:c r="A30" s="1"/>
      <x:c r="B30" s="1"/>
      <x:c r="C30" s="1" t="str">
        <x:v>Closing deferred tax assets</x:v>
      </x:c>
      <x:c r="D30" s="6" t="n">
        <x:f>'History'!D50</x:f>
        <x:v>29.518</x:v>
      </x:c>
      <x:c r="E30" s="6" t="n">
        <x:f>'History'!E50</x:f>
        <x:v>38.699</x:v>
      </x:c>
      <x:c r="F30" s="6" t="n">
        <x:f>'History'!F50</x:f>
        <x:v>96.013</x:v>
      </x:c>
      <x:c r="G30" s="6" t="n">
        <x:f>'History'!G50</x:f>
        <x:v>93.25</x:v>
      </x:c>
      <x:c r="H30" s="2" t="n">
        <x:f>H28-H29</x:f>
        <x:v>90.75</x:v>
      </x:c>
      <x:c r="I30" s="2" t="n">
        <x:f>H30</x:f>
        <x:v>90.75</x:v>
      </x:c>
      <x:c r="J30" s="2" t="n">
        <x:f>J28-J29</x:f>
        <x:v>85.75</x:v>
      </x:c>
      <x:c r="K30" s="2" t="n">
        <x:f>K28-K29</x:f>
        <x:v>80.75</x:v>
      </x:c>
      <x:c r="L30" s="2" t="n">
        <x:f>L28-L29</x:f>
        <x:v>75.75</x:v>
      </x:c>
      <x:c r="M30" s="2" t="n">
        <x:f>M28-M29</x:f>
        <x:v>70.75</x:v>
      </x:c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 t="str">
        <x:v>Annualised revenue for working capital</x:v>
      </x:c>
      <x:c r="D33" s="2"/>
      <x:c r="E33" s="2"/>
      <x:c r="F33" s="2"/>
      <x:c r="G33" s="2"/>
      <x:c r="H33" s="6" t="n">
        <x:f>'Operations'!H10/0.5</x:f>
        <x:v>3266.334</x:v>
      </x:c>
      <x:c r="I33" s="2" t="n">
        <x:f>H33</x:f>
        <x:v>3266.334</x:v>
      </x:c>
      <x:c r="J33" s="6" t="n">
        <x:f>'Operations'!J10/1</x:f>
        <x:v>3621.569</x:v>
      </x:c>
      <x:c r="K33" s="6" t="n">
        <x:f>'Operations'!K10/1</x:f>
        <x:v>3983.3637020000006</x:v>
      </x:c>
      <x:c r="L33" s="6" t="n">
        <x:f>'Operations'!L10/1</x:f>
        <x:v>4292.56076868</x:v>
      </x:c>
      <x:c r="M33" s="6" t="n">
        <x:f>'Operations'!M10/1</x:f>
        <x:v>4565.735473644001</x:v>
      </x:c>
      <x:c r="N33" s="1"/>
      <x:c r="O33" s="12" t="str">
        <x:v>H2 balances use annualised H2 run-rate, not H1 + H2 revenue.</x:v>
      </x:c>
    </x:row>
    <x:row r="34" ht="21" customHeight="1">
      <x:c r="A34" s="1"/>
      <x:c r="B34" s="1"/>
      <x:c r="C34" s="1" t="str">
        <x:v>Annualised cost of revenue</x:v>
      </x:c>
      <x:c r="D34" s="2"/>
      <x:c r="E34" s="2"/>
      <x:c r="F34" s="2"/>
      <x:c r="G34" s="2"/>
      <x:c r="H34" s="6" t="n">
        <x:f>'Operations'!H13/0.5</x:f>
        <x:v>1665.83034</x:v>
      </x:c>
      <x:c r="I34" s="2" t="n">
        <x:f>H34</x:f>
        <x:v>1665.83034</x:v>
      </x:c>
      <x:c r="J34" s="6" t="n">
        <x:f>'Operations'!J13/1</x:f>
        <x:v>1810.7845</x:v>
      </x:c>
      <x:c r="K34" s="6" t="n">
        <x:f>'Operations'!K13/1</x:f>
        <x:v>1971.7650324900003</x:v>
      </x:c>
      <x:c r="L34" s="6" t="n">
        <x:f>'Operations'!L13/1</x:f>
        <x:v>2103.3547766532</x:v>
      </x:c>
      <x:c r="M34" s="6" t="n">
        <x:f>'Operations'!M13/1</x:f>
        <x:v>2237.2103820855605</x:v>
      </x:c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 t="str">
        <x:v>Accounts receivable</x:v>
      </x:c>
      <x:c r="D36" s="6" t="n">
        <x:f>'History'!D43</x:f>
        <x:v>183.703</x:v>
      </x:c>
      <x:c r="E36" s="6" t="n">
        <x:f>'History'!E43</x:f>
        <x:v>270.342</x:v>
      </x:c>
      <x:c r="F36" s="6" t="n">
        <x:f>'History'!F43</x:f>
        <x:v>755.499</x:v>
      </x:c>
      <x:c r="G36" s="6" t="n">
        <x:f>'History'!G43</x:f>
        <x:v>735.336</x:v>
      </x:c>
      <x:c r="H36" s="6" t="n">
        <x:f>H33*'Assumptions'!$D$73/365</x:f>
        <x:v>715.9088219178082</x:v>
      </x:c>
      <x:c r="I36" s="2" t="n">
        <x:f>H36</x:f>
        <x:v>715.9088219178082</x:v>
      </x:c>
      <x:c r="J36" s="6" t="n">
        <x:f>J33*'Assumptions'!$D$73/365</x:f>
        <x:v>793.7685479452056</x:v>
      </x:c>
      <x:c r="K36" s="6" t="n">
        <x:f>K33*'Assumptions'!$D$73/365</x:f>
        <x:v>873.0660168767125</x:v>
      </x:c>
      <x:c r="L36" s="6" t="n">
        <x:f>L33*'Assumptions'!$D$73/365</x:f>
        <x:v>940.8352369709589</x:v>
      </x:c>
      <x:c r="M36" s="6" t="n">
        <x:f>M33*'Assumptions'!$D$73/365</x:f>
        <x:v>1000.7091449082743</x:v>
      </x:c>
      <x:c r="N36" s="1"/>
      <x:c r="O36" s="1"/>
    </x:row>
    <x:row r="37" ht="21" customHeight="1">
      <x:c r="A37" s="1"/>
      <x:c r="B37" s="1"/>
      <x:c r="C37" s="1" t="str">
        <x:v>Inventories</x:v>
      </x:c>
      <x:c r="D37" s="6" t="n">
        <x:f>'History'!D44</x:f>
        <x:v>229.275</x:v>
      </x:c>
      <x:c r="E37" s="6" t="n">
        <x:f>'History'!E44</x:f>
        <x:v>131.165</x:v>
      </x:c>
      <x:c r="F37" s="6" t="n">
        <x:f>'History'!F44</x:f>
        <x:v>337.698</x:v>
      </x:c>
      <x:c r="G37" s="6" t="n">
        <x:f>'History'!G44</x:f>
        <x:v>390.602</x:v>
      </x:c>
      <x:c r="H37" s="6" t="n">
        <x:f>H34*'Assumptions'!$D$74/365</x:f>
        <x:v>387.9330928767123</x:v>
      </x:c>
      <x:c r="I37" s="2" t="n">
        <x:f>H37</x:f>
        <x:v>387.9330928767123</x:v>
      </x:c>
      <x:c r="J37" s="6" t="n">
        <x:f>J34*'Assumptions'!$D$74/365</x:f>
        <x:v>421.6895410958904</x:v>
      </x:c>
      <x:c r="K37" s="6" t="n">
        <x:f>K34*'Assumptions'!$D$74/365</x:f>
        <x:v>459.178158251096</x:v>
      </x:c>
      <x:c r="L37" s="6" t="n">
        <x:f>L34*'Assumptions'!$D$74/365</x:f>
        <x:v>489.82234524800555</x:v>
      </x:c>
      <x:c r="M37" s="6" t="n">
        <x:f>M34*'Assumptions'!$D$74/365</x:f>
        <x:v>520.9941985678703</x:v>
      </x:c>
      <x:c r="N37" s="1"/>
      <x:c r="O37" s="1"/>
    </x:row>
    <x:row r="38" ht="21" customHeight="1">
      <x:c r="A38" s="1"/>
      <x:c r="B38" s="1"/>
      <x:c r="C38" s="1" t="str">
        <x:v>Prepaids and other current assets</x:v>
      </x:c>
      <x:c r="D38" s="6" t="n">
        <x:f>'History'!D45</x:f>
        <x:v>21.821</x:v>
      </x:c>
      <x:c r="E38" s="6" t="n">
        <x:f>'History'!E45</x:f>
        <x:v>18.759</x:v>
      </x:c>
      <x:c r="F38" s="6" t="n">
        <x:f>'History'!F45</x:f>
        <x:v>128.806</x:v>
      </x:c>
      <x:c r="G38" s="6" t="n">
        <x:f>'History'!G45</x:f>
        <x:v>67.422</x:v>
      </x:c>
      <x:c r="H38" s="6" t="n">
        <x:f>H33*'Assumptions'!$D$76</x:f>
        <x:v>65.32668</x:v>
      </x:c>
      <x:c r="I38" s="2" t="n">
        <x:f>H38</x:f>
        <x:v>65.32668</x:v>
      </x:c>
      <x:c r="J38" s="6" t="n">
        <x:f>J33*'Assumptions'!$D$76</x:f>
        <x:v>72.43138</x:v>
      </x:c>
      <x:c r="K38" s="6" t="n">
        <x:f>K33*'Assumptions'!$D$76</x:f>
        <x:v>79.66727404000001</x:v>
      </x:c>
      <x:c r="L38" s="6" t="n">
        <x:f>L33*'Assumptions'!$D$76</x:f>
        <x:v>85.85121537360001</x:v>
      </x:c>
      <x:c r="M38" s="6" t="n">
        <x:f>M33*'Assumptions'!$D$76</x:f>
        <x:v>91.31470947288003</x:v>
      </x:c>
      <x:c r="N38" s="1"/>
      <x:c r="O38" s="1"/>
    </x:row>
    <x:row r="39" ht="21" customHeight="1">
      <x:c r="A39" s="1"/>
      <x:c r="B39" s="1"/>
      <x:c r="C39" s="1" t="str">
        <x:v>Accounts payable</x:v>
      </x:c>
      <x:c r="D39" s="6" t="n">
        <x:f>'History'!D55</x:f>
        <x:v>42.84</x:v>
      </x:c>
      <x:c r="E39" s="6" t="n">
        <x:f>'History'!E55</x:f>
        <x:v>41.287</x:v>
      </x:c>
      <x:c r="F39" s="6" t="n">
        <x:f>'History'!F55</x:f>
        <x:v>137.93</x:v>
      </x:c>
      <x:c r="G39" s="6" t="n">
        <x:f>'History'!G55</x:f>
        <x:v>202.101</x:v>
      </x:c>
      <x:c r="H39" s="6" t="n">
        <x:f>H34*'Assumptions'!$D$75/365</x:f>
        <x:v>205.37634328767123</x:v>
      </x:c>
      <x:c r="I39" s="2" t="n">
        <x:f>H39</x:f>
        <x:v>205.37634328767123</x:v>
      </x:c>
      <x:c r="J39" s="6" t="n">
        <x:f>J34*'Assumptions'!$D$75/365</x:f>
        <x:v>223.24740410958904</x:v>
      </x:c>
      <x:c r="K39" s="6" t="n">
        <x:f>K34*'Assumptions'!$D$75/365</x:f>
        <x:v>243.09431907410965</x:v>
      </x:c>
      <x:c r="L39" s="6" t="n">
        <x:f>L34*'Assumptions'!$D$75/365</x:f>
        <x:v>259.3177121901206</x:v>
      </x:c>
      <x:c r="M39" s="6" t="n">
        <x:f>M34*'Assumptions'!$D$75/365</x:f>
        <x:v>275.8204580653431</x:v>
      </x:c>
      <x:c r="N39" s="1"/>
      <x:c r="O39" s="1"/>
    </x:row>
    <x:row r="40" ht="21" customHeight="1">
      <x:c r="A40" s="1"/>
      <x:c r="B40" s="1"/>
      <x:c r="C40" s="1" t="str">
        <x:v>Operating accruals, excluding litigation</x:v>
      </x:c>
      <x:c r="D40" s="6" t="n">
        <x:f>'History'!D56</x:f>
        <x:v>62.12</x:v>
      </x:c>
      <x:c r="E40" s="6" t="n">
        <x:f>'History'!E56</x:f>
        <x:v>148.78</x:v>
      </x:c>
      <x:c r="F40" s="6" t="n">
        <x:f>'History'!F56</x:f>
        <x:v>230.721</x:v>
      </x:c>
      <x:c r="G40" s="6" t="n">
        <x:f>'History'!G56-'Assumptions'!$D$114</x:f>
        <x:v>179.558</x:v>
      </x:c>
      <x:c r="H40" s="6" t="n">
        <x:f>H33*'Assumptions'!$D$77</x:f>
        <x:v>179.64837</x:v>
      </x:c>
      <x:c r="I40" s="2" t="n">
        <x:f>H40</x:f>
        <x:v>179.64837</x:v>
      </x:c>
      <x:c r="J40" s="6" t="n">
        <x:f>J33*'Assumptions'!$D$77</x:f>
        <x:v>199.186295</x:v>
      </x:c>
      <x:c r="K40" s="6" t="n">
        <x:f>K33*'Assumptions'!$D$77</x:f>
        <x:v>219.08500361000003</x:v>
      </x:c>
      <x:c r="L40" s="6" t="n">
        <x:f>L33*'Assumptions'!$D$77</x:f>
        <x:v>236.09084227740001</x:v>
      </x:c>
      <x:c r="M40" s="6" t="n">
        <x:f>M33*'Assumptions'!$D$77</x:f>
        <x:v>251.11545105042006</x:v>
      </x:c>
      <x:c r="N40" s="1"/>
      <x:c r="O40" s="1"/>
    </x:row>
    <x:row r="41" ht="21" customHeight="1">
      <x:c r="A41" s="1"/>
      <x:c r="B41" s="1"/>
      <x:c r="C41" s="1" t="str">
        <x:v>Promotional accruals</x:v>
      </x:c>
      <x:c r="D41" s="6" t="n">
        <x:f>'History'!D59</x:f>
        <x:v>99.787</x:v>
      </x:c>
      <x:c r="E41" s="6" t="n">
        <x:f>'History'!E59</x:f>
        <x:v>135.948</x:v>
      </x:c>
      <x:c r="F41" s="6" t="n">
        <x:f>'History'!F59</x:f>
        <x:v>307.922</x:v>
      </x:c>
      <x:c r="G41" s="6" t="n">
        <x:f>'History'!G59</x:f>
        <x:v>453.043</x:v>
      </x:c>
      <x:c r="H41" s="6" t="n">
        <x:f>H33*'Assumptions'!$D$78</x:f>
        <x:v>457.28676</x:v>
      </x:c>
      <x:c r="I41" s="2" t="n">
        <x:f>H41</x:f>
        <x:v>457.28676</x:v>
      </x:c>
      <x:c r="J41" s="6" t="n">
        <x:f>J33*'Assumptions'!$D$78</x:f>
        <x:v>507.01966000000004</x:v>
      </x:c>
      <x:c r="K41" s="6" t="n">
        <x:f>K33*'Assumptions'!$D$78</x:f>
        <x:v>557.6709182800001</x:v>
      </x:c>
      <x:c r="L41" s="6" t="n">
        <x:f>L33*'Assumptions'!$D$78</x:f>
        <x:v>600.9585076152001</x:v>
      </x:c>
      <x:c r="M41" s="6" t="n">
        <x:f>M33*'Assumptions'!$D$78</x:f>
        <x:v>639.2029663101603</x:v>
      </x:c>
      <x:c r="N41" s="1"/>
      <x:c r="O41" s="1"/>
    </x:row>
    <x:row r="42" ht="21" customHeight="1">
      <x:c r="A42" s="1"/>
      <x:c r="B42" s="1"/>
      <x:c r="C42" s="1" t="str">
        <x:v>Operating net working capital</x:v>
      </x:c>
      <x:c r="D42" s="2" t="n">
        <x:f>SUM(D36:D38)-SUM(D39:D41)</x:f>
        <x:v>230.05200000000002</x:v>
      </x:c>
      <x:c r="E42" s="2" t="n">
        <x:f>SUM(E36:E38)-SUM(E39:E41)</x:f>
        <x:v>94.25099999999998</x:v>
      </x:c>
      <x:c r="F42" s="2" t="n">
        <x:f>SUM(F36:F38)-SUM(F39:F41)</x:f>
        <x:v>545.4300000000001</x:v>
      </x:c>
      <x:c r="G42" s="2" t="n">
        <x:f>SUM(G36:G38)-SUM(G39:G41)</x:f>
        <x:v>358.65800000000013</x:v>
      </x:c>
      <x:c r="H42" s="2" t="n">
        <x:f>SUM(H36:H38)-SUM(H39:H41)</x:f>
        <x:v>326.8571215068491</x:v>
      </x:c>
      <x:c r="I42" s="2" t="n">
        <x:f>H42</x:f>
        <x:v>326.8571215068491</x:v>
      </x:c>
      <x:c r="J42" s="2" t="n">
        <x:f>SUM(J36:J38)-SUM(J39:J41)</x:f>
        <x:v>358.43610993150685</x:v>
      </x:c>
      <x:c r="K42" s="2" t="n">
        <x:f>SUM(K36:K38)-SUM(K39:K41)</x:f>
        <x:v>392.0612082036987</x:v>
      </x:c>
      <x:c r="L42" s="2" t="n">
        <x:f>SUM(L36:L38)-SUM(L39:L41)</x:f>
        <x:v>420.141735509844</x:v>
      </x:c>
      <x:c r="M42" s="2" t="n">
        <x:f>SUM(M36:M38)-SUM(M39:M41)</x:f>
        <x:v>446.87917752310136</x:v>
      </x:c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 t="str">
        <x:v>Change in operating working capital</x:v>
      </x:c>
      <x:c r="D44" s="2"/>
      <x:c r="E44" s="2"/>
      <x:c r="F44" s="2"/>
      <x:c r="G44" s="2"/>
      <x:c r="H44" s="2" t="n">
        <x:f>H42-G42</x:f>
        <x:v>-31.800878493151004</x:v>
      </x:c>
      <x:c r="I44" s="2" t="n">
        <x:f>G44+H44</x:f>
        <x:v>-31.800878493151004</x:v>
      </x:c>
      <x:c r="J44" s="2" t="n">
        <x:f>J42-I42</x:f>
        <x:v>31.578988424657723</x:v>
      </x:c>
      <x:c r="K44" s="2" t="n">
        <x:f>K42-J42</x:f>
        <x:v>33.62509827219185</x:v>
      </x:c>
      <x:c r="L44" s="2" t="n">
        <x:f>L42-K42</x:f>
        <x:v>28.080527306145314</x:v>
      </x:c>
      <x:c r="M44" s="2" t="n">
        <x:f>M42-L42</x:f>
        <x:v>26.73744201325735</x:v>
      </x:c>
      <x:c r="N44" s="1"/>
      <x:c r="O44" s="1"/>
    </x:row>
    <x:row r="45" ht="21" customHeight="1">
      <x:c r="A45" s="1"/>
      <x:c r="B45" s="1"/>
      <x:c r="C45" s="1" t="str">
        <x:v>Cash payment of accrued litigation</x:v>
      </x:c>
      <x:c r="D45" s="2"/>
      <x:c r="E45" s="2"/>
      <x:c r="F45" s="2"/>
      <x:c r="G45" s="2"/>
      <x:c r="H45" s="6" t="n">
        <x:f>'Assumptions'!$D$114</x:f>
        <x:v>85</x:v>
      </x:c>
      <x:c r="I45" s="2" t="n">
        <x:f>G45+H45</x:f>
        <x:v>85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"/>
      <x:c r="O45" s="12" t="str">
        <x:v>USD85m accrued litigation assumed paid H2. Reflected in cash flow, not a second EBIT charge.</x:v>
      </x:c>
    </x:row>
    <x:row r="46" ht="21" customHeight="1">
      <x:c r="A46" s="1"/>
      <x:c r="B46" s="1"/>
      <x:c r="C46" s="1" t="str">
        <x:v>Cash payment of distributor liabilities</x:v>
      </x:c>
      <x:c r="D46" s="2"/>
      <x:c r="E46" s="2"/>
      <x:c r="F46" s="2"/>
      <x:c r="G46" s="2"/>
      <x:c r="H46" s="6" t="n">
        <x:f>'History'!G58</x:f>
        <x:v>8.761</x:v>
      </x:c>
      <x:c r="I46" s="2" t="n">
        <x:f>G46+H46</x:f>
        <x:v>8.761</x:v>
      </x:c>
      <x:c r="J46" s="11" t="n">
        <x:v>0</x:v>
      </x:c>
      <x:c r="K46" s="11" t="n">
        <x:v>0</x:v>
      </x:c>
      <x:c r="L46" s="11" t="n">
        <x:v>0</x:v>
      </x:c>
      <x:c r="M46" s="11" t="n">
        <x:v>0</x:v>
      </x:c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 t="str">
        <x:v>Cash tax paid</x:v>
      </x:c>
      <x:c r="D48" s="2"/>
      <x:c r="E48" s="2"/>
      <x:c r="F48" s="2"/>
      <x:c r="G48" s="2"/>
      <x:c r="H48" s="6" t="n">
        <x:f>'Statements'!H16-H29</x:f>
        <x:v>74.79101959999998</x:v>
      </x:c>
      <x:c r="I48" s="2" t="n">
        <x:f>G48+H48</x:f>
        <x:v>74.79101959999998</x:v>
      </x:c>
      <x:c r="J48" s="6" t="n">
        <x:f>'Statements'!J16-J29</x:f>
        <x:v>186.25135367392758</x:v>
      </x:c>
      <x:c r="K48" s="6" t="n">
        <x:f>'Statements'!K16-K29</x:f>
        <x:v>222.43196541351782</x:v>
      </x:c>
      <x:c r="L48" s="6" t="n">
        <x:f>'Statements'!L16-L29</x:f>
        <x:v>255.9799789175907</x:v>
      </x:c>
      <x:c r="M48" s="6" t="n">
        <x:f>'Statements'!M16-M29</x:f>
        <x:v>284.9729177788767</x:v>
      </x:c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Cash, debt and share-count schedules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Opening unrestricted cash</x:v>
      </x:c>
      <x:c r="D7" s="2"/>
      <x:c r="E7" s="2"/>
      <x:c r="F7" s="2"/>
      <x:c r="G7" s="2"/>
      <x:c r="H7" s="2" t="n">
        <x:f>G14</x:f>
        <x:v>631.234</x:v>
      </x:c>
      <x:c r="I7" s="2" t="n">
        <x:f>H7</x:f>
        <x:v>631.234</x:v>
      </x:c>
      <x:c r="J7" s="2" t="n">
        <x:f>I14</x:f>
        <x:v>499.6065409465755</x:v>
      </x:c>
      <x:c r="K7" s="2" t="n">
        <x:f>J14</x:f>
        <x:v>658.9036613425974</x:v>
      </x:c>
      <x:c r="L7" s="2" t="n">
        <x:f>K14</x:f>
        <x:v>1323.7288054472788</x:v>
      </x:c>
      <x:c r="M7" s="2" t="n">
        <x:f>L14</x:f>
        <x:v>2102.3320666948366</x:v>
      </x:c>
      <x:c r="N7" s="1"/>
      <x:c r="O7" s="1"/>
    </x:row>
    <x:row r="8" ht="21" customHeight="1">
      <x:c r="A8" s="1"/>
      <x:c r="B8" s="1"/>
      <x:c r="C8" s="1" t="str">
        <x:v>Cash flow before financing</x:v>
      </x:c>
      <x:c r="D8" s="2"/>
      <x:c r="E8" s="2"/>
      <x:c r="F8" s="2"/>
      <x:c r="G8" s="2"/>
      <x:c r="H8" s="6" t="n">
        <x:f>'Operations'!H20+H31-H29-'Statements'!H16+'Operations'!H21+'Operations'!H16+'CapitalWC'!H21-'CapitalWC'!H25+'CapitalWC'!H29-'CapitalWC'!H44-'CapitalWC'!H45-'CapitalWC'!H46-'CapitalWC'!H10</x:f>
        <x:v>199.85408189315092</x:v>
      </x:c>
      <x:c r="I8" s="2" t="n">
        <x:f>G8+H8</x:f>
        <x:v>199.85408189315092</x:v>
      </x:c>
      <x:c r="J8" s="6" t="n">
        <x:f>'Operations'!J20+J31-J29-'Statements'!J16+'Operations'!J21+'Operations'!J16+'CapitalWC'!J21-'CapitalWC'!J25+'CapitalWC'!J29-'CapitalWC'!J44-'CapitalWC'!J45-'CapitalWC'!J46-'CapitalWC'!J10</x:f>
        <x:v>607.6905794494463</x:v>
      </x:c>
      <x:c r="K8" s="6" t="n">
        <x:f>'Operations'!K20+K31-K29-'Statements'!K16+'Operations'!K21+'Operations'!K16+'CapitalWC'!K21-'CapitalWC'!K25+'CapitalWC'!K29-'CapitalWC'!K44-'CapitalWC'!K45-'CapitalWC'!K46-'CapitalWC'!K10</x:f>
        <x:v>721.5751441046813</x:v>
      </x:c>
      <x:c r="L8" s="6" t="n">
        <x:f>'Operations'!L20+L31-L29-'Statements'!L16+'Operations'!L21+'Operations'!L16+'CapitalWC'!L21-'CapitalWC'!L25+'CapitalWC'!L29-'CapitalWC'!L44-'CapitalWC'!L45-'CapitalWC'!L46-'CapitalWC'!L10</x:f>
        <x:v>835.3532612475577</x:v>
      </x:c>
      <x:c r="M8" s="6" t="n">
        <x:f>'Operations'!M20+M31-M29-'Statements'!M16+'Operations'!M21+'Operations'!M16+'CapitalWC'!M21-'CapitalWC'!M25+'CapitalWC'!M29-'CapitalWC'!M44-'CapitalWC'!M45-'CapitalWC'!M46-'CapitalWC'!M10</x:f>
        <x:v>914.158916508851</x:v>
      </x:c>
      <x:c r="N8" s="1"/>
      <x:c r="O8" s="12" t="str">
        <x:v>Cash before funding excludes non-cash debt fees. Existing fee amortisation/write-off receives no cash tax relief, avoiding a debt-sweep circularity.</x:v>
      </x:c>
    </x:row>
    <x:row r="9" ht="21" customHeight="1">
      <x:c r="A9" s="1"/>
      <x:c r="B9" s="1"/>
      <x:c r="C9" s="1" t="str">
        <x:v>Preferred cash dividends</x:v>
      </x:c>
      <x:c r="D9" s="6" t="n">
        <x:f>'History'!D19</x:f>
        <x:v>27.462</x:v>
      </x:c>
      <x:c r="E9" s="6" t="n">
        <x:f>'History'!E19</x:f>
        <x:v>27.5</x:v>
      </x:c>
      <x:c r="F9" s="6" t="n">
        <x:f>'History'!F19</x:f>
        <x:v>37.608</x:v>
      </x:c>
      <x:c r="G9" s="6" t="n">
        <x:f>'History'!G19</x:f>
        <x:v>28.142</x:v>
      </x:c>
      <x:c r="H9" s="6" t="n">
        <x:f>('Assumptions'!$D$122+'Assumptions'!$D$123)*'Assumptions'!$D$126*0.5</x:f>
        <x:v>28.375</x:v>
      </x:c>
      <x:c r="I9" s="2" t="n">
        <x:f>G9+H9</x:f>
        <x:v>56.516999999999996</x:v>
      </x:c>
      <x:c r="J9" s="6" t="n">
        <x:f>('Assumptions'!$D$122+'Assumptions'!$D$123)*'Assumptions'!$D$126*1</x:f>
        <x:v>56.75</x:v>
      </x:c>
      <x:c r="K9" s="6" t="n">
        <x:f>('Assumptions'!$D$122+'Assumptions'!$D$123)*'Assumptions'!$D$126*1</x:f>
        <x:v>56.75</x:v>
      </x:c>
      <x:c r="L9" s="6" t="n">
        <x:f>('Assumptions'!$D$122+'Assumptions'!$D$123)*'Assumptions'!$D$126*1</x:f>
        <x:v>56.75</x:v>
      </x:c>
      <x:c r="M9" s="6" t="n">
        <x:f>('Assumptions'!$D$122+'Assumptions'!$D$123)*'Assumptions'!$D$126*1</x:f>
        <x:v>56.75</x:v>
      </x:c>
      <x:c r="N9" s="1"/>
      <x:c r="O9" s="1"/>
    </x:row>
    <x:row r="10" ht="21" customHeight="1">
      <x:c r="A10" s="1"/>
      <x:c r="B10" s="1"/>
      <x:c r="C10" s="1" t="str">
        <x:v>Scheduled debt repayment</x:v>
      </x:c>
      <x:c r="D10" s="2"/>
      <x:c r="E10" s="2"/>
      <x:c r="F10" s="2"/>
      <x:c r="G10" s="2"/>
      <x:c r="H10" s="6" t="n">
        <x:f>MIN(H17,'Assumptions'!$D$119*0.5)</x:f>
        <x:v>3.5</x:v>
      </x:c>
      <x:c r="I10" s="2" t="n">
        <x:f>G10+H10</x:f>
        <x:v>3.5</x:v>
      </x:c>
      <x:c r="J10" s="6" t="n">
        <x:f>MIN(J17,'Assumptions'!$D$119*1)</x:f>
        <x:v>7</x:v>
      </x:c>
      <x:c r="K10" s="6" t="n">
        <x:f>MIN(K17,'Assumptions'!$D$119*1)</x:f>
        <x:v>0</x:v>
      </x:c>
      <x:c r="L10" s="6" t="n">
        <x:f>MIN(L17,'Assumptions'!$D$119*1)</x:f>
        <x:v>0</x:v>
      </x:c>
      <x:c r="M10" s="6" t="n">
        <x:f>MIN(M17,'Assumptions'!$D$119*1)</x:f>
        <x:v>0</x:v>
      </x:c>
      <x:c r="N10" s="1"/>
      <x:c r="O10" s="1"/>
    </x:row>
    <x:row r="11" ht="21" customHeight="1">
      <x:c r="A11" s="1"/>
      <x:c r="B11" s="1"/>
      <x:c r="C11" s="1" t="str">
        <x:v>Cash before discretionary funding</x:v>
      </x:c>
      <x:c r="D11" s="2"/>
      <x:c r="E11" s="2"/>
      <x:c r="F11" s="2"/>
      <x:c r="G11" s="2"/>
      <x:c r="H11" s="2" t="n">
        <x:f>H7+H8-H9-H10</x:f>
        <x:v>799.213081893151</x:v>
      </x:c>
      <x:c r="I11" s="2" t="n">
        <x:f>H11</x:f>
        <x:v>799.213081893151</x:v>
      </x:c>
      <x:c r="J11" s="2" t="n">
        <x:f>J7+J8-J9-J10</x:f>
        <x:v>1043.547120396022</x:v>
      </x:c>
      <x:c r="K11" s="2" t="n">
        <x:f>K7+K8-K9-K10</x:f>
        <x:v>1323.7288054472788</x:v>
      </x:c>
      <x:c r="L11" s="2" t="n">
        <x:f>L7+L8-L9-L10</x:f>
        <x:v>2102.3320666948366</x:v>
      </x:c>
      <x:c r="M11" s="2" t="n">
        <x:f>M7+M8-M9-M10</x:f>
        <x:v>2959.7409832036874</x:v>
      </x:c>
      <x:c r="N11" s="1"/>
      <x:c r="O11" s="1"/>
    </x:row>
    <x:row r="12" ht="21" customHeight="1">
      <x:c r="A12" s="1"/>
      <x:c r="B12" s="1"/>
      <x:c r="C12" s="1" t="str">
        <x:v>Minimum cash borrowing draw</x:v>
      </x:c>
      <x:c r="D12" s="2"/>
      <x:c r="E12" s="2"/>
      <x:c r="F12" s="2"/>
      <x:c r="G12" s="2"/>
      <x:c r="H12" s="6" t="n">
        <x:f>MAX(0,'Assumptions'!$D$79-H11)</x:f>
        <x:v>0</x:v>
      </x:c>
      <x:c r="I12" s="2" t="n">
        <x:f>G12+H12</x:f>
        <x:v>0</x:v>
      </x:c>
      <x:c r="J12" s="6" t="n">
        <x:f>MAX(0,'Assumptions'!$D$79-J11)</x:f>
        <x:v>0</x:v>
      </x:c>
      <x:c r="K12" s="6" t="n">
        <x:f>MAX(0,'Assumptions'!$D$79-K11)</x:f>
        <x:v>0</x:v>
      </x:c>
      <x:c r="L12" s="6" t="n">
        <x:f>MAX(0,'Assumptions'!$D$79-L11)</x:f>
        <x:v>0</x:v>
      </x:c>
      <x:c r="M12" s="6" t="n">
        <x:f>MAX(0,'Assumptions'!$D$79-M11)</x:f>
        <x:v>0</x:v>
      </x:c>
      <x:c r="N12" s="1"/>
      <x:c r="O12" s="12" t="str">
        <x:v>Draw preserves USD200m minimum cash. Assumed committed facility, not verified lending capacity. Draw interest begins next period.</x:v>
      </x:c>
    </x:row>
    <x:row r="13" ht="21" customHeight="1">
      <x:c r="A13" s="1"/>
      <x:c r="B13" s="1"/>
      <x:c r="C13" s="1" t="str">
        <x:v>Excess cash debt sweep</x:v>
      </x:c>
      <x:c r="D13" s="2"/>
      <x:c r="E13" s="2"/>
      <x:c r="F13" s="2"/>
      <x:c r="G13" s="2"/>
      <x:c r="H13" s="6" t="n">
        <x:f>MIN(MAX(0,H17-H10),MAX(0,H11-'Assumptions'!$D$79)*'Assumptions'!$D$80)</x:f>
        <x:v>299.6065409465755</x:v>
      </x:c>
      <x:c r="I13" s="2" t="n">
        <x:f>G13+H13</x:f>
        <x:v>299.6065409465755</x:v>
      </x:c>
      <x:c r="J13" s="6" t="n">
        <x:f>MIN(MAX(0,J17-J10),MAX(0,J11-'Assumptions'!$D$79)*'Assumptions'!$D$80)</x:f>
        <x:v>384.6434590534245</x:v>
      </x:c>
      <x:c r="K13" s="6" t="n">
        <x:f>MIN(MAX(0,K17-K10),MAX(0,K11-'Assumptions'!$D$79)*'Assumptions'!$D$80)</x:f>
        <x:v>0</x:v>
      </x:c>
      <x:c r="L13" s="6" t="n">
        <x:f>MIN(MAX(0,L17-L10),MAX(0,L11-'Assumptions'!$D$79)*'Assumptions'!$D$80)</x:f>
        <x:v>0</x:v>
      </x:c>
      <x:c r="M13" s="6" t="n">
        <x:f>MIN(MAX(0,M17-M10),MAX(0,M11-'Assumptions'!$D$79)*'Assumptions'!$D$80)</x:f>
        <x:v>0</x:v>
      </x:c>
      <x:c r="N13" s="1"/>
      <x:c r="O13" s="12" t="str">
        <x:v>50% of excess cash repays debt, capped at principal outstanding. No iterative calculations.</x:v>
      </x:c>
    </x:row>
    <x:row r="14" ht="21" customHeight="1">
      <x:c r="A14" s="1"/>
      <x:c r="B14" s="1"/>
      <x:c r="C14" s="1" t="str">
        <x:v>Closing unrestricted cash</x:v>
      </x:c>
      <x:c r="D14" s="6" t="n">
        <x:f>'History'!D41</x:f>
        <x:v>755.981</x:v>
      </x:c>
      <x:c r="E14" s="6" t="n">
        <x:f>'History'!E41</x:f>
        <x:v>890.19</x:v>
      </x:c>
      <x:c r="F14" s="6" t="n">
        <x:f>'History'!F41</x:f>
        <x:v>398.866</x:v>
      </x:c>
      <x:c r="G14" s="6" t="n">
        <x:f>'History'!G41</x:f>
        <x:v>631.234</x:v>
      </x:c>
      <x:c r="H14" s="2" t="n">
        <x:f>H11+H12-H13</x:f>
        <x:v>499.6065409465755</x:v>
      </x:c>
      <x:c r="I14" s="2" t="n">
        <x:f>H14</x:f>
        <x:v>499.6065409465755</x:v>
      </x:c>
      <x:c r="J14" s="2" t="n">
        <x:f>J11+J12-J13</x:f>
        <x:v>658.9036613425974</x:v>
      </x:c>
      <x:c r="K14" s="2" t="n">
        <x:f>K11+K12-K13</x:f>
        <x:v>1323.7288054472788</x:v>
      </x:c>
      <x:c r="L14" s="2" t="n">
        <x:f>L11+L12-L13</x:f>
        <x:v>2102.3320666948366</x:v>
      </x:c>
      <x:c r="M14" s="2" t="n">
        <x:f>M11+M12-M13</x:f>
        <x:v>2959.7409832036874</x:v>
      </x:c>
      <x:c r="N14" s="1"/>
      <x:c r="O14" s="1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1"/>
      <x:c r="O16" s="1"/>
    </x:row>
    <x:row r="17" ht="21" customHeight="1">
      <x:c r="A17" s="1"/>
      <x:c r="B17" s="1"/>
      <x:c r="C17" s="1" t="str">
        <x:v>Opening gross debt</x:v>
      </x:c>
      <x:c r="D17" s="2"/>
      <x:c r="E17" s="2"/>
      <x:c r="F17" s="2"/>
      <x:c r="G17" s="2"/>
      <x:c r="H17" s="2" t="n">
        <x:f>G21</x:f>
        <x:v>694.75</x:v>
      </x:c>
      <x:c r="I17" s="2" t="n">
        <x:f>H17</x:f>
        <x:v>694.75</x:v>
      </x:c>
      <x:c r="J17" s="2" t="n">
        <x:f>I21</x:f>
        <x:v>391.6434590534245</x:v>
      </x:c>
      <x:c r="K17" s="2" t="n">
        <x:f>J21</x:f>
        <x:v>0</x:v>
      </x:c>
      <x:c r="L17" s="2" t="n">
        <x:f>K21</x:f>
        <x:v>0</x:v>
      </x:c>
      <x:c r="M17" s="2" t="n">
        <x:f>L21</x:f>
        <x:v>0</x:v>
      </x:c>
      <x:c r="N17" s="1"/>
      <x:c r="O17" s="1"/>
    </x:row>
    <x:row r="18" ht="21" customHeight="1">
      <x:c r="A18" s="1"/>
      <x:c r="B18" s="1"/>
      <x:c r="C18" s="1" t="str">
        <x:v>Scheduled debt repayment</x:v>
      </x:c>
      <x:c r="D18" s="2"/>
      <x:c r="E18" s="2"/>
      <x:c r="F18" s="2"/>
      <x:c r="G18" s="2"/>
      <x:c r="H18" s="2" t="n">
        <x:f>H10</x:f>
        <x:v>3.5</x:v>
      </x:c>
      <x:c r="I18" s="2" t="n">
        <x:f>G18+H18</x:f>
        <x:v>3.5</x:v>
      </x:c>
      <x:c r="J18" s="2" t="n">
        <x:f>J10</x:f>
        <x:v>7</x:v>
      </x:c>
      <x:c r="K18" s="2" t="n">
        <x:f>K10</x:f>
        <x:v>0</x:v>
      </x:c>
      <x:c r="L18" s="2" t="n">
        <x:f>L10</x:f>
        <x:v>0</x:v>
      </x:c>
      <x:c r="M18" s="2" t="n">
        <x:f>M10</x:f>
        <x:v>0</x:v>
      </x:c>
      <x:c r="N18" s="1"/>
      <x:c r="O18" s="1"/>
    </x:row>
    <x:row r="19" ht="21" customHeight="1">
      <x:c r="A19" s="1"/>
      <x:c r="B19" s="1"/>
      <x:c r="C19" s="1" t="str">
        <x:v>Debt draw</x:v>
      </x:c>
      <x:c r="D19" s="2"/>
      <x:c r="E19" s="2"/>
      <x:c r="F19" s="2"/>
      <x:c r="G19" s="2"/>
      <x:c r="H19" s="2" t="n">
        <x:f>H12</x:f>
        <x:v>0</x:v>
      </x:c>
      <x:c r="I19" s="2" t="n">
        <x:f>G19+H19</x:f>
        <x:v>0</x:v>
      </x:c>
      <x:c r="J19" s="2" t="n">
        <x:f>J12</x:f>
        <x:v>0</x:v>
      </x:c>
      <x:c r="K19" s="2" t="n">
        <x:f>K12</x:f>
        <x:v>0</x:v>
      </x:c>
      <x:c r="L19" s="2" t="n">
        <x:f>L12</x:f>
        <x:v>0</x:v>
      </x:c>
      <x:c r="M19" s="2" t="n">
        <x:f>M12</x:f>
        <x:v>0</x:v>
      </x:c>
      <x:c r="N19" s="1"/>
      <x:c r="O19" s="1"/>
    </x:row>
    <x:row r="20" ht="21" customHeight="1">
      <x:c r="A20" s="1"/>
      <x:c r="B20" s="1"/>
      <x:c r="C20" s="1" t="str">
        <x:v>Debt sweep</x:v>
      </x:c>
      <x:c r="D20" s="2"/>
      <x:c r="E20" s="2"/>
      <x:c r="F20" s="2"/>
      <x:c r="G20" s="2"/>
      <x:c r="H20" s="2" t="n">
        <x:f>H13</x:f>
        <x:v>299.6065409465755</x:v>
      </x:c>
      <x:c r="I20" s="2" t="n">
        <x:f>G20+H20</x:f>
        <x:v>299.6065409465755</x:v>
      </x:c>
      <x:c r="J20" s="2" t="n">
        <x:f>J13</x:f>
        <x:v>384.6434590534245</x:v>
      </x:c>
      <x:c r="K20" s="2" t="n">
        <x:f>K13</x:f>
        <x:v>0</x:v>
      </x:c>
      <x:c r="L20" s="2" t="n">
        <x:f>L13</x:f>
        <x:v>0</x:v>
      </x:c>
      <x:c r="M20" s="2" t="n">
        <x:f>M13</x:f>
        <x:v>0</x:v>
      </x:c>
      <x:c r="N20" s="1"/>
      <x:c r="O20" s="1"/>
    </x:row>
    <x:row r="21" ht="21" customHeight="1">
      <x:c r="A21" s="1"/>
      <x:c r="B21" s="1"/>
      <x:c r="C21" s="1" t="str">
        <x:v>Closing gross debt</x:v>
      </x:c>
      <x:c r="D21" s="2"/>
      <x:c r="E21" s="2"/>
      <x:c r="F21" s="2"/>
      <x:c r="G21" s="6" t="n">
        <x:f>'Assumptions'!$D$128</x:f>
        <x:v>694.75</x:v>
      </x:c>
      <x:c r="H21" s="2" t="n">
        <x:f>H17-H18+H19-H20</x:f>
        <x:v>391.6434590534245</x:v>
      </x:c>
      <x:c r="I21" s="2" t="n">
        <x:f>H21</x:f>
        <x:v>391.6434590534245</x:v>
      </x:c>
      <x:c r="J21" s="2" t="n">
        <x:f>J17-J18+J19-J20</x:f>
        <x:v>0</x:v>
      </x:c>
      <x:c r="K21" s="2" t="n">
        <x:f>K17-K18+K19-K20</x:f>
        <x:v>0</x:v>
      </x:c>
      <x:c r="L21" s="2" t="n">
        <x:f>L17-L18+L19-L20</x:f>
        <x:v>0</x:v>
      </x:c>
      <x:c r="M21" s="2" t="n">
        <x:f>M17-M18+M19-M20</x:f>
        <x:v>0</x:v>
      </x:c>
      <x:c r="N21" s="1"/>
      <x:c r="O21" s="1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 t="str">
        <x:v>Opening unamortised debt costs</x:v>
      </x:c>
      <x:c r="D24" s="2"/>
      <x:c r="E24" s="2"/>
      <x:c r="F24" s="2"/>
      <x:c r="G24" s="2"/>
      <x:c r="H24" s="2" t="n">
        <x:f>G26</x:f>
        <x:v>19.9</x:v>
      </x:c>
      <x:c r="I24" s="2" t="n">
        <x:f>H24</x:f>
        <x:v>19.9</x:v>
      </x:c>
      <x:c r="J24" s="2" t="n">
        <x:f>I26</x:f>
        <x:v>18.5</x:v>
      </x:c>
      <x:c r="K24" s="2" t="n">
        <x:f>J26</x:f>
        <x:v>0</x:v>
      </x:c>
      <x:c r="L24" s="2" t="n">
        <x:f>K26</x:f>
        <x:v>0</x:v>
      </x:c>
      <x:c r="M24" s="2" t="n">
        <x:f>L26</x:f>
        <x:v>0</x:v>
      </x:c>
      <x:c r="N24" s="1"/>
      <x:c r="O24" s="1"/>
    </x:row>
    <x:row r="25" ht="21" customHeight="1">
      <x:c r="A25" s="1"/>
      <x:c r="B25" s="1"/>
      <x:c r="C25" s="1" t="str">
        <x:v>Debt cost amortisation</x:v>
      </x:c>
      <x:c r="D25" s="2"/>
      <x:c r="E25" s="2"/>
      <x:c r="F25" s="2"/>
      <x:c r="G25" s="2"/>
      <x:c r="H25" s="6" t="n">
        <x:f>MIN(H24,'Assumptions'!$D$118*0.5)</x:f>
        <x:v>1.4</x:v>
      </x:c>
      <x:c r="I25" s="2" t="n">
        <x:f>G25+H25</x:f>
        <x:v>1.4</x:v>
      </x:c>
      <x:c r="J25" s="6" t="n">
        <x:f>MIN(J24,'Assumptions'!$D$118*1)</x:f>
        <x:v>2.8</x:v>
      </x:c>
      <x:c r="K25" s="6" t="n">
        <x:f>MIN(K24,'Assumptions'!$D$118*1)</x:f>
        <x:v>0</x:v>
      </x:c>
      <x:c r="L25" s="6" t="n">
        <x:f>MIN(L24,'Assumptions'!$D$118*1)</x:f>
        <x:v>0</x:v>
      </x:c>
      <x:c r="M25" s="6" t="n">
        <x:f>MIN(M24,'Assumptions'!$D$118*1)</x:f>
        <x:v>0</x:v>
      </x:c>
      <x:c r="N25" s="1"/>
      <x:c r="O25" s="1"/>
    </x:row>
    <x:row r="26" ht="21" customHeight="1">
      <x:c r="A26" s="1"/>
      <x:c r="B26" s="1"/>
      <x:c r="C26" s="1" t="str">
        <x:v>Closing unamortised debt costs</x:v>
      </x:c>
      <x:c r="D26" s="2"/>
      <x:c r="E26" s="2"/>
      <x:c r="F26" s="2"/>
      <x:c r="G26" s="6" t="n">
        <x:f>'Assumptions'!$D$129</x:f>
        <x:v>19.9</x:v>
      </x:c>
      <x:c r="H26" s="2" t="n">
        <x:f>IF(H21=0,0,H24-H25)</x:f>
        <x:v>18.5</x:v>
      </x:c>
      <x:c r="I26" s="2" t="n">
        <x:f>H26</x:f>
        <x:v>18.5</x:v>
      </x:c>
      <x:c r="J26" s="2" t="n">
        <x:f>IF(J21=0,0,J24-J25)</x:f>
        <x:v>0</x:v>
      </x:c>
      <x:c r="K26" s="2" t="n">
        <x:f>IF(K21=0,0,K24-K25)</x:f>
        <x:v>0</x:v>
      </x:c>
      <x:c r="L26" s="2" t="n">
        <x:f>IF(L21=0,0,L24-L25)</x:f>
        <x:v>0</x:v>
      </x:c>
      <x:c r="M26" s="2" t="n">
        <x:f>IF(M21=0,0,M24-M25)</x:f>
        <x:v>0</x:v>
      </x:c>
      <x:c r="N26" s="1"/>
      <x:c r="O26" s="1"/>
    </x:row>
    <x:row r="27" ht="21" customHeight="1">
      <x:c r="A27" s="1"/>
      <x:c r="B27" s="1"/>
      <x:c r="C27" s="1" t="str">
        <x:v>Debt carrying value</x:v>
      </x:c>
      <x:c r="D27" s="6" t="n">
        <x:f>'History'!D63</x:f>
        <x:v>0</x:v>
      </x:c>
      <x:c r="E27" s="6" t="n">
        <x:f>'History'!E63</x:f>
        <x:v>0</x:v>
      </x:c>
      <x:c r="F27" s="6" t="n">
        <x:f>'History'!F63</x:f>
        <x:v>676.926</x:v>
      </x:c>
      <x:c r="G27" s="6" t="n">
        <x:f>'History'!G63</x:f>
        <x:v>674.85</x:v>
      </x:c>
      <x:c r="H27" s="2" t="n">
        <x:f>H21-H26</x:f>
        <x:v>373.1434590534245</x:v>
      </x:c>
      <x:c r="I27" s="2" t="n">
        <x:f>H27</x:f>
        <x:v>373.1434590534245</x:v>
      </x:c>
      <x:c r="J27" s="2" t="n">
        <x:f>J21-J26</x:f>
        <x:v>0</x:v>
      </x:c>
      <x:c r="K27" s="2" t="n">
        <x:f>K21-K26</x:f>
        <x:v>0</x:v>
      </x:c>
      <x:c r="L27" s="2" t="n">
        <x:f>L21-L26</x:f>
        <x:v>0</x:v>
      </x:c>
      <x:c r="M27" s="2" t="n">
        <x:f>M21-M26</x:f>
        <x:v>0</x:v>
      </x:c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 t="str">
        <x:v>Cash interest on opening debt</x:v>
      </x:c>
      <x:c r="D29" s="2"/>
      <x:c r="E29" s="2"/>
      <x:c r="F29" s="2"/>
      <x:c r="G29" s="2"/>
      <x:c r="H29" s="6" t="n">
        <x:f>H17*'Assumptions'!$D$81*0.5</x:f>
        <x:v>20.147750000000002</x:v>
      </x:c>
      <x:c r="I29" s="2" t="n">
        <x:f>G29+H29</x:f>
        <x:v>20.147750000000002</x:v>
      </x:c>
      <x:c r="J29" s="6" t="n">
        <x:f>J17*'Assumptions'!$D$81*1</x:f>
        <x:v>22.715320625098624</x:v>
      </x:c>
      <x:c r="K29" s="6" t="n">
        <x:f>K17*'Assumptions'!$D$81*1</x:f>
        <x:v>0</x:v>
      </x:c>
      <x:c r="L29" s="6" t="n">
        <x:f>L17*'Assumptions'!$D$81*1</x:f>
        <x:v>0</x:v>
      </x:c>
      <x:c r="M29" s="6" t="n">
        <x:f>M17*'Assumptions'!$D$81*1</x:f>
        <x:v>0</x:v>
      </x:c>
      <x:c r="N29" s="1"/>
      <x:c r="O29" s="1"/>
    </x:row>
    <x:row r="30" ht="21" customHeight="1">
      <x:c r="A30" s="1"/>
      <x:c r="B30" s="1"/>
      <x:c r="C30" s="1" t="str">
        <x:v>Total interest incl. fee amortisation</x:v>
      </x:c>
      <x:c r="D30" s="6" t="n">
        <x:f>'History'!D14</x:f>
        <x:v>0</x:v>
      </x:c>
      <x:c r="E30" s="6" t="n">
        <x:f>'History'!E14</x:f>
        <x:v>0</x:v>
      </x:c>
      <x:c r="F30" s="6" t="n">
        <x:f>'History'!F14</x:f>
        <x:v>48.977</x:v>
      </x:c>
      <x:c r="G30" s="6" t="n">
        <x:f>'History'!G14</x:f>
        <x:v>23.409</x:v>
      </x:c>
      <x:c r="H30" s="2" t="n">
        <x:f>H29+H24-H26</x:f>
        <x:v>21.54775</x:v>
      </x:c>
      <x:c r="I30" s="2" t="n">
        <x:f>G30+H30</x:f>
        <x:v>44.95675</x:v>
      </x:c>
      <x:c r="J30" s="2" t="n">
        <x:f>J29+J24-J26</x:f>
        <x:v>41.21532062509863</x:v>
      </x:c>
      <x:c r="K30" s="2" t="n">
        <x:f>K29+K24-K26</x:f>
        <x:v>0</x:v>
      </x:c>
      <x:c r="L30" s="2" t="n">
        <x:f>L29+L24-L26</x:f>
        <x:v>0</x:v>
      </x:c>
      <x:c r="M30" s="2" t="n">
        <x:f>M29+M24-M26</x:f>
        <x:v>0</x:v>
      </x:c>
      <x:c r="N30" s="1"/>
      <x:c r="O30" s="1"/>
    </x:row>
    <x:row r="31" ht="21" customHeight="1">
      <x:c r="A31" s="1"/>
      <x:c r="B31" s="1"/>
      <x:c r="C31" s="1" t="str">
        <x:v>Cash interest income</x:v>
      </x:c>
      <x:c r="D31" s="6" t="n">
        <x:f>'History'!D13</x:f>
        <x:v>26.629</x:v>
      </x:c>
      <x:c r="E31" s="6" t="n">
        <x:f>'History'!E13</x:f>
        <x:v>39.263</x:v>
      </x:c>
      <x:c r="F31" s="6" t="n">
        <x:f>'History'!F13</x:f>
        <x:v>21.085</x:v>
      </x:c>
      <x:c r="G31" s="6" t="n">
        <x:f>'History'!G13</x:f>
        <x:v>6.67</x:v>
      </x:c>
      <x:c r="H31" s="6" t="n">
        <x:f>H7*'Assumptions'!$D$82*0.5</x:f>
        <x:v>11.046595000000002</x:v>
      </x:c>
      <x:c r="I31" s="2" t="n">
        <x:f>G31+H31</x:f>
        <x:v>17.716595</x:v>
      </x:c>
      <x:c r="J31" s="6" t="n">
        <x:f>J7*'Assumptions'!$D$82*1</x:f>
        <x:v>17.486228933130143</x:v>
      </x:c>
      <x:c r="K31" s="6" t="n">
        <x:f>K7*'Assumptions'!$D$82*1</x:f>
        <x:v>23.06162814699091</x:v>
      </x:c>
      <x:c r="L31" s="6" t="n">
        <x:f>L7*'Assumptions'!$D$82*1</x:f>
        <x:v>46.33050819065476</x:v>
      </x:c>
      <x:c r="M31" s="6" t="n">
        <x:f>M7*'Assumptions'!$D$82*1</x:f>
        <x:v>73.58162233431929</x:v>
      </x:c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 t="str">
        <x:v>Opening common shares</x:v>
      </x:c>
      <x:c r="D34" s="2"/>
      <x:c r="E34" s="2"/>
      <x:c r="F34" s="2"/>
      <x:c r="G34" s="2"/>
      <x:c r="H34" s="2" t="n">
        <x:f>G36</x:f>
        <x:v>253.341</x:v>
      </x:c>
      <x:c r="I34" s="2" t="n">
        <x:f>H34</x:f>
        <x:v>253.341</x:v>
      </x:c>
      <x:c r="J34" s="2" t="n">
        <x:f>I36</x:f>
        <x:v>253.96414798092212</x:v>
      </x:c>
      <x:c r="K34" s="2" t="n">
        <x:f>J36</x:f>
        <x:v>255.34598670906203</x:v>
      </x:c>
      <x:c r="L34" s="2" t="n">
        <x:f>K36</x:f>
        <x:v>256.86587111046106</x:v>
      </x:c>
      <x:c r="M34" s="2" t="n">
        <x:f>L36</x:f>
        <x:v>258.50373213507663</x:v>
      </x:c>
      <x:c r="N34" s="1"/>
      <x:c r="O34" s="1"/>
    </x:row>
    <x:row r="35" ht="21" customHeight="1">
      <x:c r="A35" s="1"/>
      <x:c r="B35" s="1"/>
      <x:c r="C35" s="1" t="str">
        <x:v>Shares issued for SBC (proxy)</x:v>
      </x:c>
      <x:c r="D35" s="2"/>
      <x:c r="E35" s="2"/>
      <x:c r="F35" s="2"/>
      <x:c r="G35" s="2"/>
      <x:c r="H35" s="6" t="n">
        <x:f>'Operations'!H16/'Assumptions'!$D$90</x:f>
        <x:v>0.6231479809220986</x:v>
      </x:c>
      <x:c r="I35" s="2" t="n">
        <x:f>G35+H35</x:f>
        <x:v>0.6231479809220986</x:v>
      </x:c>
      <x:c r="J35" s="6" t="n">
        <x:f>'Operations'!J16/'Assumptions'!$D$90</x:f>
        <x:v>1.3818387281399045</x:v>
      </x:c>
      <x:c r="K35" s="6" t="n">
        <x:f>'Operations'!K16/'Assumptions'!$D$90</x:f>
        <x:v>1.5198844013990465</x:v>
      </x:c>
      <x:c r="L35" s="6" t="n">
        <x:f>'Operations'!L16/'Assumptions'!$D$90</x:f>
        <x:v>1.6378610246155805</x:v>
      </x:c>
      <x:c r="M35" s="6" t="n">
        <x:f>'Operations'!M16/'Assumptions'!$D$90</x:f>
        <x:v>1.7420930265096348</x:v>
      </x:c>
      <x:c r="N35" s="1"/>
      <x:c r="O35" s="12" t="str">
        <x:v>Future issuance = recurring SBC / fixed valuation-date share price. Approximation, no repurchases or future ESPP cash proceeds.</x:v>
      </x:c>
    </x:row>
    <x:row r="36" ht="21" customHeight="1">
      <x:c r="A36" s="1"/>
      <x:c r="B36" s="1"/>
      <x:c r="C36" s="1" t="str">
        <x:v>Closing common shares</x:v>
      </x:c>
      <x:c r="D36" s="2"/>
      <x:c r="E36" s="2"/>
      <x:c r="F36" s="2"/>
      <x:c r="G36" s="11" t="n">
        <x:v>253.341</x:v>
      </x:c>
      <x:c r="H36" s="2" t="n">
        <x:f>H34+H35</x:f>
        <x:v>253.96414798092212</x:v>
      </x:c>
      <x:c r="I36" s="2" t="n">
        <x:f>H36</x:f>
        <x:v>253.96414798092212</x:v>
      </x:c>
      <x:c r="J36" s="2" t="n">
        <x:f>J34+J35</x:f>
        <x:v>255.34598670906203</x:v>
      </x:c>
      <x:c r="K36" s="2" t="n">
        <x:f>K34+K35</x:f>
        <x:v>256.86587111046106</x:v>
      </x:c>
      <x:c r="L36" s="2" t="n">
        <x:f>L34+L35</x:f>
        <x:v>258.50373213507663</x:v>
      </x:c>
      <x:c r="M36" s="2" t="n">
        <x:f>M34+M35</x:f>
        <x:v>260.24582516158625</x:v>
      </x:c>
      <x:c r="N36" s="1"/>
      <x:c r="O36" s="1"/>
    </x:row>
    <x:row r="37" ht="21" customHeight="1">
      <x:c r="A37" s="1"/>
      <x:c r="B37" s="1"/>
      <x:c r="C37" s="1" t="str">
        <x:v>Weighted average common shares</x:v>
      </x:c>
      <x:c r="D37" s="2"/>
      <x:c r="E37" s="2"/>
      <x:c r="F37" s="2"/>
      <x:c r="G37" s="2"/>
      <x:c r="H37" s="2" t="n">
        <x:f>(H34+H36)/2</x:f>
        <x:v>253.65257399046106</x:v>
      </x:c>
      <x:c r="I37" s="2" t="n">
        <x:f>H37</x:f>
        <x:v>253.65257399046106</x:v>
      </x:c>
      <x:c r="J37" s="2" t="n">
        <x:f>(J34+J36)/2</x:f>
        <x:v>254.65506734499206</x:v>
      </x:c>
      <x:c r="K37" s="2" t="n">
        <x:f>(K34+K36)/2</x:f>
        <x:v>256.10592890976153</x:v>
      </x:c>
      <x:c r="L37" s="2" t="n">
        <x:f>(L34+L36)/2</x:f>
        <x:v>257.6848016227689</x:v>
      </x:c>
      <x:c r="M37" s="2" t="n">
        <x:f>(M34+M36)/2</x:f>
        <x:v>259.37477864833147</x:v>
      </x:c>
      <x:c r="N37" s="1"/>
      <x:c r="O37" s="1"/>
    </x:row>
    <x:row r="38" ht="21" customHeight="1">
      <x:c r="A38" s="1"/>
      <x:c r="B38" s="1"/>
      <x:c r="C38" s="1" t="str">
        <x:v>Existing preferred as-converted shares</x:v>
      </x:c>
      <x:c r="D38" s="2"/>
      <x:c r="E38" s="2"/>
      <x:c r="F38" s="2"/>
      <x:c r="G38" s="2"/>
      <x:c r="H38" s="6" t="n">
        <x:f>'Assumptions'!$D$122/'Assumptions'!$D$124+'Assumptions'!$D$123/'Assumptions'!$D$125</x:f>
        <x:v>33.30434782608695</x:v>
      </x:c>
      <x:c r="I38" s="2" t="n">
        <x:f>H38</x:f>
        <x:v>33.30434782608695</x:v>
      </x:c>
      <x:c r="J38" s="6" t="n">
        <x:f>'Assumptions'!$D$122/'Assumptions'!$D$124+'Assumptions'!$D$123/'Assumptions'!$D$125</x:f>
        <x:v>33.30434782608695</x:v>
      </x:c>
      <x:c r="K38" s="6" t="n">
        <x:f>'Assumptions'!$D$122/'Assumptions'!$D$124+'Assumptions'!$D$123/'Assumptions'!$D$125</x:f>
        <x:v>33.30434782608695</x:v>
      </x:c>
      <x:c r="L38" s="6" t="n">
        <x:f>'Assumptions'!$D$122/'Assumptions'!$D$124+'Assumptions'!$D$123/'Assumptions'!$D$125</x:f>
        <x:v>33.30434782608695</x:v>
      </x:c>
      <x:c r="M38" s="6" t="n">
        <x:f>'Assumptions'!$D$122/'Assumptions'!$D$124+'Assumptions'!$D$123/'Assumptions'!$D$125</x:f>
        <x:v>33.30434782608695</x:v>
      </x:c>
      <x:c r="N38" s="1"/>
      <x:c r="O38" s="1"/>
    </x:row>
    <x:row r="39" ht="21" customHeight="1">
      <x:c r="A39" s="1"/>
      <x:c r="B39" s="1"/>
      <x:c r="C39" s="1" t="str">
        <x:v>EPS denominator before preferred</x:v>
      </x:c>
      <x:c r="D39" s="6" t="n">
        <x:f>'History'!D22</x:f>
        <x:v>236.964</x:v>
      </x:c>
      <x:c r="E39" s="6" t="n">
        <x:f>'History'!E22</x:f>
        <x:v>237.404</x:v>
      </x:c>
      <x:c r="F39" s="6" t="n">
        <x:f>'History'!F22</x:f>
        <x:v>254.911</x:v>
      </x:c>
      <x:c r="G39" s="6" t="n">
        <x:f>'History'!G22</x:f>
        <x:v>258.495</x:v>
      </x:c>
      <x:c r="H39" s="6" t="n">
        <x:f>H37+'Assumptions'!$D$120</x:f>
        <x:v>255.80157399046107</x:v>
      </x:c>
      <x:c r="I39" s="6" t="n">
        <x:f>('History'!G22+H39)/2</x:f>
        <x:v>257.14828699523054</x:v>
      </x:c>
      <x:c r="J39" s="6" t="n">
        <x:f>J37+'Assumptions'!$D$120</x:f>
        <x:v>256.80406734499206</x:v>
      </x:c>
      <x:c r="K39" s="6" t="n">
        <x:f>K37+'Assumptions'!$D$120</x:f>
        <x:v>258.25492890976153</x:v>
      </x:c>
      <x:c r="L39" s="6" t="n">
        <x:f>L37+'Assumptions'!$D$120</x:f>
        <x:v>259.8338016227689</x:v>
      </x:c>
      <x:c r="M39" s="6" t="n">
        <x:f>M37+'Assumptions'!$D$120</x:f>
        <x:v>261.5237786483315</x:v>
      </x:c>
      <x:c r="N39" s="1"/>
      <x:c r="O39" s="1"/>
    </x:row>
    <x:row r="40" ht="21" customHeight="1">
      <x:c r="A40" s="1"/>
      <x:c r="B40" s="1"/>
      <x:c r="C40" s="1" t="str">
        <x:v>Earnings allocated to preferred</x:v>
      </x:c>
      <x:c r="D40" s="2"/>
      <x:c r="E40" s="2"/>
      <x:c r="F40" s="2"/>
      <x:c r="G40" s="6" t="n">
        <x:f>'History'!G20</x:f>
        <x:v>15.807</x:v>
      </x:c>
      <x:c r="H40" s="6" t="n">
        <x:f>MAX(0,'Statements'!H17-H9)*H38/(H39+H38)</x:f>
        <x:v>24.765197360988733</x:v>
      </x:c>
      <x:c r="I40" s="2" t="n">
        <x:f>G40+H40</x:f>
        <x:v>40.57219736098873</x:v>
      </x:c>
      <x:c r="J40" s="6" t="n">
        <x:f>MAX(0,'Statements'!J17-J9)*J38/(J39+J38)</x:f>
        <x:v>60.88736251031367</x:v>
      </x:c>
      <x:c r="K40" s="6" t="n">
        <x:f>MAX(0,'Statements'!K17-K9)*K38/(K39+K38)</x:f>
        <x:v>75.7849675399369</x:v>
      </x:c>
      <x:c r="L40" s="6" t="n">
        <x:f>MAX(0,'Statements'!L17-L9)*L38/(L39+L38)</x:f>
        <x:v>87.44651724292261</x:v>
      </x:c>
      <x:c r="M40" s="6" t="n">
        <x:f>MAX(0,'Statements'!M17-M9)*M38/(M39+M38)</x:f>
        <x:v>97.31640995213408</x:v>
      </x:c>
      <x:c r="N40" s="1"/>
      <x:c r="O40" s="1"/>
    </x:row>
    <x:row r="41" ht="21" customHeight="1">
      <x:c r="A41" s="1"/>
      <x:c r="B41" s="1"/>
      <x:c r="C41" s="1" t="str">
        <x:v>Diluted common EPS (two-class proxy)</x:v>
      </x:c>
      <x:c r="D41" s="32" t="n">
        <x:f>'History'!D23</x:f>
        <x:v>0.77</x:v>
      </x:c>
      <x:c r="E41" s="32" t="n">
        <x:f>'History'!E23</x:f>
        <x:v>0.45</x:v>
      </x:c>
      <x:c r="F41" s="32" t="n">
        <x:f>'History'!F23</x:f>
        <x:v>0.25</x:v>
      </x:c>
      <x:c r="G41" s="32" t="n">
        <x:f>'History'!G23</x:f>
        <x:v>0.47</x:v>
      </x:c>
      <x:c r="H41" s="32" t="n">
        <x:f>('Statements'!H17-H9-H40)/H39</x:f>
        <x:v>0.7436025317268158</x:v>
      </x:c>
      <x:c r="I41" s="32" t="n">
        <x:f>('Statements'!I17-I9-I40)/I39</x:f>
        <x:v>1.2119765668312297</x:v>
      </x:c>
      <x:c r="J41" s="32" t="n">
        <x:f>('Statements'!J17-J9-J40)/J39</x:f>
        <x:v>1.828210623677826</x:v>
      </x:c>
      <x:c r="K41" s="32" t="n">
        <x:f>('Statements'!K17-K9-K40)/K39</x:f>
        <x:v>2.2755277459772176</x:v>
      </x:c>
      <x:c r="L41" s="32" t="n">
        <x:f>('Statements'!L17-L9-L40)/L39</x:f>
        <x:v>2.6256787161713055</x:v>
      </x:c>
      <x:c r="M41" s="32" t="n">
        <x:f>('Statements'!M17-M9-M40)/M39</x:f>
        <x:v>2.9220331969961935</x:v>
      </x:c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Standalone DCF and security claims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Operating profit</x:v>
      </x:c>
      <x:c r="D7" s="2"/>
      <x:c r="E7" s="2"/>
      <x:c r="F7" s="2"/>
      <x:c r="G7" s="2"/>
      <x:c r="H7" s="6" t="n">
        <x:f>'Operations'!H20</x:f>
        <x:v>331.1470699999999</x:v>
      </x:c>
      <x:c r="I7" s="6" t="n">
        <x:f>'Operations'!I20</x:f>
        <x:v>545.3950699999999</x:v>
      </x:c>
      <x:c r="J7" s="6" t="n">
        <x:f>'Operations'!J20</x:f>
        <x:v>802.109732</x:v>
      </x:c>
      <x:c r="K7" s="6" t="n">
        <x:f>'Operations'!K20</x:f>
        <x:v>924.5715610760001</x:v>
      </x:c>
      <x:c r="L7" s="6" t="n">
        <x:f>'Operations'!L20</x:f>
        <x:v>1041.08607063264</x:v>
      </x:c>
      <x:c r="M7" s="6" t="n">
        <x:f>'Operations'!M20</x:f>
        <x:v>1134.6388684110004</x:v>
      </x:c>
      <x:c r="N7" s="1"/>
      <x:c r="O7" s="1"/>
    </x:row>
    <x:row r="8" ht="21" customHeight="1">
      <x:c r="A8" s="1"/>
      <x:c r="B8" s="1"/>
      <x:c r="C8" s="1" t="str">
        <x:v>Normalised operating tax</x:v>
      </x:c>
      <x:c r="D8" s="2"/>
      <x:c r="E8" s="2"/>
      <x:c r="F8" s="2"/>
      <x:c r="G8" s="2"/>
      <x:c r="H8" s="6" t="n">
        <x:f>MAX(0,H7)*'Assumptions'!$D$69</x:f>
        <x:v>79.47529679999998</x:v>
      </x:c>
      <x:c r="I8" s="6" t="n">
        <x:f>MAX(0,I7)*'Assumptions'!$D$69</x:f>
        <x:v>130.89481679999997</x:v>
      </x:c>
      <x:c r="J8" s="6" t="n">
        <x:f>MAX(0,J7)*'Assumptions'!$D$69</x:f>
        <x:v>192.50633568</x:v>
      </x:c>
      <x:c r="K8" s="6" t="n">
        <x:f>MAX(0,K7)*'Assumptions'!$D$69</x:f>
        <x:v>221.89717465824</x:v>
      </x:c>
      <x:c r="L8" s="6" t="n">
        <x:f>MAX(0,L7)*'Assumptions'!$D$69</x:f>
        <x:v>249.8606569518336</x:v>
      </x:c>
      <x:c r="M8" s="6" t="n">
        <x:f>MAX(0,M7)*'Assumptions'!$D$69</x:f>
        <x:v>272.3133284186401</x:v>
      </x:c>
      <x:c r="N8" s="1"/>
      <x:c r="O8" s="1"/>
    </x:row>
    <x:row r="9" ht="21" customHeight="1">
      <x:c r="A9" s="1"/>
      <x:c r="B9" s="1"/>
      <x:c r="C9" s="1" t="str">
        <x:v>NOPAT</x:v>
      </x:c>
      <x:c r="D9" s="2"/>
      <x:c r="E9" s="2"/>
      <x:c r="F9" s="2"/>
      <x:c r="G9" s="2"/>
      <x:c r="H9" s="2" t="n">
        <x:f>H7-H8</x:f>
        <x:v>251.67177319999996</x:v>
      </x:c>
      <x:c r="I9" s="2" t="n">
        <x:f>I7-I8</x:f>
        <x:v>414.5002532</x:v>
      </x:c>
      <x:c r="J9" s="2" t="n">
        <x:f>J7-J8</x:f>
        <x:v>609.60339632</x:v>
      </x:c>
      <x:c r="K9" s="2" t="n">
        <x:f>K7-K8</x:f>
        <x:v>702.67438641776</x:v>
      </x:c>
      <x:c r="L9" s="2" t="n">
        <x:f>L7-L8</x:f>
        <x:v>791.2254136808065</x:v>
      </x:c>
      <x:c r="M9" s="2" t="n">
        <x:f>M7-M8</x:f>
        <x:v>862.3255399923603</x:v>
      </x:c>
      <x:c r="N9" s="1"/>
      <x:c r="O9" s="1"/>
    </x:row>
    <x:row r="10" ht="21" customHeight="1">
      <x:c r="A10" s="1"/>
      <x:c r="B10" s="1"/>
      <x:c r="C10" s="1" t="str">
        <x:v>Depreciation and amortisation</x:v>
      </x:c>
      <x:c r="D10" s="2"/>
      <x:c r="E10" s="2"/>
      <x:c r="F10" s="2"/>
      <x:c r="G10" s="2"/>
      <x:c r="H10" s="6" t="n">
        <x:f>'Operations'!H21</x:f>
        <x:v>15.35231</x:v>
      </x:c>
      <x:c r="I10" s="6" t="n">
        <x:f>'Operations'!I21</x:f>
        <x:v>34.59031</x:v>
      </x:c>
      <x:c r="J10" s="6" t="n">
        <x:f>'Operations'!J21</x:f>
        <x:v>32.35769524</x:v>
      </x:c>
      <x:c r="K10" s="6" t="n">
        <x:f>'Operations'!K21</x:f>
        <x:v>35.887200779400004</x:v>
      </x:c>
      <x:c r="L10" s="6" t="n">
        <x:f>'Operations'!L21</x:f>
        <x:v>39.740553260079</x:v>
      </x:c>
      <x:c r="M10" s="6" t="n">
        <x:f>'Operations'!M21</x:f>
        <x:v>27.031198397529465</x:v>
      </x:c>
      <x:c r="N10" s="1"/>
      <x:c r="O10" s="1"/>
    </x:row>
    <x:row r="11" ht="21" customHeight="1">
      <x:c r="A11" s="1"/>
      <x:c r="B11" s="1"/>
      <x:c r="C11" s="1" t="str">
        <x:v>Deferred customer cost amortisation</x:v>
      </x:c>
      <x:c r="D11" s="2"/>
      <x:c r="E11" s="2"/>
      <x:c r="F11" s="2"/>
      <x:c r="G11" s="2"/>
      <x:c r="H11" s="6" t="n">
        <x:f>'CapitalWC'!H21</x:f>
        <x:v>24.736</x:v>
      </x:c>
      <x:c r="I11" s="6" t="n">
        <x:f>'CapitalWC'!I21</x:f>
        <x:v>24.736</x:v>
      </x:c>
      <x:c r="J11" s="6" t="n">
        <x:f>'CapitalWC'!J21</x:f>
        <x:v>49.472</x:v>
      </x:c>
      <x:c r="K11" s="6" t="n">
        <x:f>'CapitalWC'!K21</x:f>
        <x:v>49.472</x:v>
      </x:c>
      <x:c r="L11" s="6" t="n">
        <x:f>'CapitalWC'!L21</x:f>
        <x:v>49.472</x:v>
      </x:c>
      <x:c r="M11" s="6" t="n">
        <x:f>'CapitalWC'!M21</x:f>
        <x:v>49.472</x:v>
      </x:c>
      <x:c r="N11" s="1"/>
      <x:c r="O11" s="1"/>
    </x:row>
    <x:row r="12" ht="21" customHeight="1">
      <x:c r="A12" s="1"/>
      <x:c r="B12" s="1"/>
      <x:c r="C12" s="1" t="str">
        <x:v>Deferred revenue release</x:v>
      </x:c>
      <x:c r="D12" s="2"/>
      <x:c r="E12" s="2"/>
      <x:c r="F12" s="2"/>
      <x:c r="G12" s="2"/>
      <x:c r="H12" s="6" t="n">
        <x:f>-'CapitalWC'!H25</x:f>
        <x:v>-15.73</x:v>
      </x:c>
      <x:c r="I12" s="6" t="n">
        <x:f>-'CapitalWC'!I25</x:f>
        <x:v>-15.73</x:v>
      </x:c>
      <x:c r="J12" s="6" t="n">
        <x:f>-'CapitalWC'!J25</x:f>
        <x:v>-31.46</x:v>
      </x:c>
      <x:c r="K12" s="6" t="n">
        <x:f>-'CapitalWC'!K25</x:f>
        <x:v>-31.46</x:v>
      </x:c>
      <x:c r="L12" s="6" t="n">
        <x:f>-'CapitalWC'!L25</x:f>
        <x:v>-31.46</x:v>
      </x:c>
      <x:c r="M12" s="6" t="n">
        <x:f>-'CapitalWC'!M25</x:f>
        <x:v>-31.46</x:v>
      </x:c>
      <x:c r="N12" s="1"/>
      <x:c r="O12" s="1"/>
    </x:row>
    <x:row r="13" ht="21" customHeight="1">
      <x:c r="A13" s="1"/>
      <x:c r="B13" s="1"/>
      <x:c r="C13" s="1" t="str">
        <x:v>Capital expenditure</x:v>
      </x:c>
      <x:c r="D13" s="2"/>
      <x:c r="E13" s="2"/>
      <x:c r="F13" s="2"/>
      <x:c r="G13" s="2"/>
      <x:c r="H13" s="6" t="n">
        <x:f>-'CapitalWC'!H10</x:f>
        <x:v>-29.397005999999998</x:v>
      </x:c>
      <x:c r="I13" s="6" t="n">
        <x:f>-'CapitalWC'!I10</x:f>
        <x:v>-54.379006</x:v>
      </x:c>
      <x:c r="J13" s="6" t="n">
        <x:f>-'CapitalWC'!J10</x:f>
        <x:v>-65.18824199999999</x:v>
      </x:c>
      <x:c r="K13" s="6" t="n">
        <x:f>-'CapitalWC'!K10</x:f>
        <x:v>-71.700546636</x:v>
      </x:c>
      <x:c r="L13" s="6" t="n">
        <x:f>-'CapitalWC'!L10</x:f>
        <x:v>-77.26609383624</x:v>
      </x:c>
      <x:c r="M13" s="6" t="n">
        <x:f>-'CapitalWC'!M10</x:f>
        <x:v>-82.18323852559202</x:v>
      </x:c>
      <x:c r="N13" s="1"/>
      <x:c r="O13" s="1"/>
    </x:row>
    <x:row r="14" ht="21" customHeight="1">
      <x:c r="A14" s="1"/>
      <x:c r="B14" s="1"/>
      <x:c r="C14" s="1" t="str">
        <x:v>Increase in working capital</x:v>
      </x:c>
      <x:c r="D14" s="2"/>
      <x:c r="E14" s="2"/>
      <x:c r="F14" s="2"/>
      <x:c r="G14" s="2"/>
      <x:c r="H14" s="6" t="n">
        <x:f>-'CapitalWC'!H44</x:f>
        <x:v>31.800878493151004</x:v>
      </x:c>
      <x:c r="I14" s="6" t="n">
        <x:f>-'CapitalWC'!I44</x:f>
        <x:v>31.800878493151004</x:v>
      </x:c>
      <x:c r="J14" s="6" t="n">
        <x:f>-'CapitalWC'!J44</x:f>
        <x:v>-31.578988424657723</x:v>
      </x:c>
      <x:c r="K14" s="6" t="n">
        <x:f>-'CapitalWC'!K44</x:f>
        <x:v>-33.62509827219185</x:v>
      </x:c>
      <x:c r="L14" s="6" t="n">
        <x:f>-'CapitalWC'!L44</x:f>
        <x:v>-28.080527306145314</x:v>
      </x:c>
      <x:c r="M14" s="6" t="n">
        <x:f>-'CapitalWC'!M44</x:f>
        <x:v>-26.73744201325735</x:v>
      </x:c>
      <x:c r="N14" s="1"/>
      <x:c r="O14" s="1"/>
    </x:row>
    <x:row r="15" ht="21" customHeight="1">
      <x:c r="A15" s="1"/>
      <x:c r="B15" s="1"/>
      <x:c r="C15" s="1" t="str">
        <x:v>Litigation and termination payments</x:v>
      </x:c>
      <x:c r="D15" s="2"/>
      <x:c r="E15" s="2"/>
      <x:c r="F15" s="2"/>
      <x:c r="G15" s="2"/>
      <x:c r="H15" s="6" t="n">
        <x:f>-'CapitalWC'!H45-'CapitalWC'!H46</x:f>
        <x:v>-93.761</x:v>
      </x:c>
      <x:c r="I15" s="6" t="n">
        <x:f>-'CapitalWC'!I45-'CapitalWC'!I46</x:f>
        <x:v>-93.761</x:v>
      </x:c>
      <x:c r="J15" s="6" t="n">
        <x:f>-'CapitalWC'!J45-'CapitalWC'!J46</x:f>
        <x:v>0</x:v>
      </x:c>
      <x:c r="K15" s="6" t="n">
        <x:f>-'CapitalWC'!K45-'CapitalWC'!K46</x:f>
        <x:v>0</x:v>
      </x:c>
      <x:c r="L15" s="6" t="n">
        <x:f>-'CapitalWC'!L45-'CapitalWC'!L46</x:f>
        <x:v>0</x:v>
      </x:c>
      <x:c r="M15" s="6" t="n">
        <x:f>-'CapitalWC'!M45-'CapitalWC'!M46</x:f>
        <x:v>0</x:v>
      </x:c>
      <x:c r="N15" s="1"/>
      <x:c r="O15" s="1"/>
    </x:row>
    <x:row r="16" ht="21" customHeight="1">
      <x:c r="A16" s="1"/>
      <x:c r="B16" s="1"/>
      <x:c r="C16" s="1" t="str">
        <x:v>Unlevered free cash flow</x:v>
      </x:c>
      <x:c r="D16" s="2"/>
      <x:c r="E16" s="2"/>
      <x:c r="F16" s="2"/>
      <x:c r="G16" s="2"/>
      <x:c r="H16" s="2" t="n">
        <x:f>SUM(H9:H15)</x:f>
        <x:v>184.6729556931509</x:v>
      </x:c>
      <x:c r="I16" s="2" t="n">
        <x:f>SUM(I9:I15)</x:f>
        <x:v>341.7574356931509</x:v>
      </x:c>
      <x:c r="J16" s="2" t="n">
        <x:f>SUM(J9:J15)</x:f>
        <x:v>563.2058611353423</x:v>
      </x:c>
      <x:c r="K16" s="2" t="n">
        <x:f>SUM(K9:K15)</x:f>
        <x:v>651.2479422889681</x:v>
      </x:c>
      <x:c r="L16" s="2" t="n">
        <x:f>SUM(L9:L15)</x:f>
        <x:v>743.6313457985001</x:v>
      </x:c>
      <x:c r="M16" s="2" t="n">
        <x:f>SUM(M9:M15)</x:f>
        <x:v>798.4480578510403</x:v>
      </x:c>
      <x:c r="N16" s="1"/>
      <x:c r="O16" s="12" t="str">
        <x:v>SBC remains an economic cost: no add-back to UFCF. Normalised cash tax equals book tax in DCF; no speculative DTA tax benefit.</x:v>
      </x:c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 t="str">
        <x:v>Post-valuation cash flow fraction</x:v>
      </x:c>
      <x:c r="D18" s="2"/>
      <x:c r="E18" s="2"/>
      <x:c r="F18" s="2"/>
      <x:c r="G18" s="2"/>
      <x:c r="H18" s="11" t="n">
        <x:v>0.6666666666666666</x:v>
      </x:c>
      <x:c r="I18" s="2"/>
      <x:c r="J18" s="11" t="n">
        <x:v>1</x:v>
      </x:c>
      <x:c r="K18" s="11" t="n">
        <x:v>1</x:v>
      </x:c>
      <x:c r="L18" s="11" t="n">
        <x:v>1</x:v>
      </x:c>
      <x:c r="M18" s="11" t="n">
        <x:v>1</x:v>
      </x:c>
      <x:c r="N18" s="1"/>
      <x:c r="O18" s="12" t="str">
        <x:v>H2 cash flow spread evenly: July-Aug excluded, Sept-Dec discounted at year-end. Aug cash/debt interpolated from H1/H2 forecast.</x:v>
      </x:c>
    </x:row>
    <x:row r="19" ht="21" customHeight="1">
      <x:c r="A19" s="1"/>
      <x:c r="B19" s="1"/>
      <x:c r="C19" s="1" t="str">
        <x:v>Discount period from 31 Aug 2026</x:v>
      </x:c>
      <x:c r="D19" s="2"/>
      <x:c r="E19" s="2"/>
      <x:c r="F19" s="2"/>
      <x:c r="G19" s="2"/>
      <x:c r="H19" s="11" t="n">
        <x:v>0.3333333333333333</x:v>
      </x:c>
      <x:c r="I19" s="2"/>
      <x:c r="J19" s="11" t="n">
        <x:v>1.3333333333333333</x:v>
      </x:c>
      <x:c r="K19" s="11" t="n">
        <x:v>2.3333333333333335</x:v>
      </x:c>
      <x:c r="L19" s="11" t="n">
        <x:v>3.3333333333333335</x:v>
      </x:c>
      <x:c r="M19" s="11" t="n">
        <x:v>4.333333333333333</x:v>
      </x:c>
      <x:c r="N19" s="1"/>
      <x:c r="O19" s="1"/>
    </x:row>
    <x:row r="20" ht="21" customHeight="1">
      <x:c r="A20" s="1"/>
      <x:c r="B20" s="1"/>
      <x:c r="C20" s="1" t="str">
        <x:v>Present value of future cash flow</x:v>
      </x:c>
      <x:c r="D20" s="2"/>
      <x:c r="E20" s="2"/>
      <x:c r="F20" s="2"/>
      <x:c r="G20" s="2"/>
      <x:c r="H20" s="2" t="n">
        <x:f>H16*H18/(1+$D$27)^H19</x:f>
        <x:v>119.10935752593659</x:v>
      </x:c>
      <x:c r="I20" s="2"/>
      <x:c r="J20" s="2" t="n">
        <x:f>J16*J18/(1+$D$27)^J19</x:f>
        <x:v>493.4038452120631</x:v>
      </x:c>
      <x:c r="K20" s="2" t="n">
        <x:f>K16*K18/(1+$D$27)^K19</x:f>
        <x:v>516.6343177347085</x:v>
      </x:c>
      <x:c r="L20" s="2" t="n">
        <x:f>L16*L18/(1+$D$27)^L19</x:f>
        <x:v>534.1904233273096</x:v>
      </x:c>
      <x:c r="M20" s="2" t="n">
        <x:f>M16*M18/(1+$D$27)^M19</x:f>
        <x:v>519.3816500592143</x:v>
      </x:c>
      <x:c r="N20" s="1"/>
      <x:c r="O20" s="1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4" customHeight="1">
      <x:c r="A23" s="1"/>
      <x:c r="B23" s="1"/>
      <x:c r="C23" s="16" t="str">
        <x:v>Discount rate and enterprise value</x:v>
      </x:c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"/>
      <x:c r="O23" s="1"/>
    </x:row>
    <x:row r="24" ht="21" customHeight="1">
      <x:c r="A24" s="1"/>
      <x:c r="B24" s="1"/>
      <x:c r="C24" s="1" t="str">
        <x:v>Cost of equity</x:v>
      </x:c>
      <x:c r="D24" s="33" t="n">
        <x:f>'Assumptions'!$D$83+'Assumptions'!$D$84*'Assumptions'!$D$85</x:f>
        <x:v>0.1075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 t="str">
        <x:v>After-tax cost of debt</x:v>
      </x:c>
      <x:c r="D25" s="33" t="n">
        <x:f>'Assumptions'!$D$87*(1-'Assumptions'!$D$69)</x:f>
        <x:v>0.04408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 t="str">
        <x:v>Debt weight</x:v>
      </x:c>
      <x:c r="D26" s="33" t="n">
        <x:f>'Assumptions'!$D$86</x:f>
        <x:v>0.05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 t="str">
        <x:v>Weighted average cost of capital</x:v>
      </x:c>
      <x:c r="D27" s="18" t="n">
        <x:f>D24*(1-D26)+D25*D26</x:f>
        <x:v>0.10432899999999999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 t="str">
        <x:v>PV of explicit future cash flow</x:v>
      </x:c>
      <x:c r="D29" s="2" t="n">
        <x:f>H20+SUM(J20:M20)</x:f>
        <x:v>2182.719593859232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 t="str">
        <x:v>FY2031 normalised terminal UFCF</x:v>
      </x:c>
      <x:c r="D30" s="6" t="n">
        <x:f>('Operations'!M20*(1-'Assumptions'!$D$69)+'Operations'!M21+'CapitalWC'!M21-'CapitalWC'!M25-'CapitalWC'!M10-'CapitalWC'!M42*'Assumptions'!$D$88)*(1+'Assumptions'!$D$88)</x:f>
        <x:v>834.3638584368755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2" t="str">
        <x:v>Terminal net deferred-cost amortisation benefit persists by assumption; finite runoff / renewal economics require diligence. See judgement log.</x:v>
      </x:c>
    </x:row>
    <x:row r="31" ht="21" customHeight="1">
      <x:c r="A31" s="1"/>
      <x:c r="B31" s="1"/>
      <x:c r="C31" s="1" t="str">
        <x:v>Terminal value</x:v>
      </x:c>
      <x:c r="D31" s="6" t="n">
        <x:f>D30/(D27-'Assumptions'!$D$88)</x:f>
        <x:v>10517.765992724926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 t="str">
        <x:v>PV of terminal value</x:v>
      </x:c>
      <x:c r="D32" s="2" t="n">
        <x:f>D31/(1+D27)^M19</x:f>
        <x:v>6841.690705517752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 t="str">
        <x:v>Enterprise value</x:v>
      </x:c>
      <x:c r="D33" s="2" t="n">
        <x:f>D29+D32</x:f>
        <x:v>9024.410299376985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 t="str">
        <x:v>Estimated 31 Aug unrestricted cash</x:v>
      </x:c>
      <x:c r="D35" s="6" t="n">
        <x:f>'Financing'!G14+('Financing'!H14-'Financing'!G14)*2/6</x:f>
        <x:v>587.3581803155251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 t="str">
        <x:v>Estimated 31 Aug gross debt</x:v>
      </x:c>
      <x:c r="D36" s="6" t="n">
        <x:f>'Financing'!G21+('Financing'!H21-'Financing'!G21)*2/6</x:f>
        <x:v>593.7144863511415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 t="str">
        <x:v>Value available to all equity claims</x:v>
      </x:c>
      <x:c r="D37" s="2" t="n">
        <x:f>D33+D35-D36</x:f>
        <x:v>9018.053993341367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 t="str">
        <x:v>Fully diluted common claims</x:v>
      </x:c>
      <x:c r="D38" s="6" t="n">
        <x:f>'Assumptions'!$D$121+'Assumptions'!$D$120</x:f>
        <x:v>255.184047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 t="str">
        <x:v>Series A as-converted shares</x:v>
      </x:c>
      <x:c r="D40" s="6" t="n">
        <x:f>'Assumptions'!$D$122/'Assumptions'!$D$124</x:f>
        <x:v>22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 t="str">
        <x:v>Series B as-converted shares</x:v>
      </x:c>
      <x:c r="D41" s="6" t="n">
        <x:f>'Assumptions'!$D$123/'Assumptions'!$D$125</x:f>
        <x:v>11.304347826086957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 t="str">
        <x:v>Standalone common value per share</x:v>
      </x:c>
      <x:c r="D42" s="32" t="n">
        <x:f>IF(D37&lt;'Valuation'!$D$38*'Assumptions'!$D$124+'Assumptions'!$D$122+'Assumptions'!$D$123,(D37-'Assumptions'!$D$122-'Assumptions'!$D$123)/'Valuation'!$D$38,IF(D37&lt;('Valuation'!$D$38+'Valuation'!$D$40)*'Assumptions'!$D$125+'Assumptions'!$D$123,(D37-'Assumptions'!$D$123)/('Valuation'!$D$38+'Valuation'!$D$40),D37/('Valuation'!$D$38+'Valuation'!$D$40+'Valuation'!$D$41)))</x:f>
        <x:v>30.424023621176758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2" t="str">
        <x:v>Preferred allocation uses greater of face and conversion value. Transparent liquidation-equivalent proxy, not an option-pricing fair value.</x:v>
      </x:c>
    </x:row>
    <x:row r="43" ht="21" customHeight="1">
      <x:c r="A43" s="1"/>
      <x:c r="B43" s="1"/>
      <x:c r="C43" s="1" t="str">
        <x:v>Series A claim value</x:v>
      </x:c>
      <x:c r="D43" s="6" t="n">
        <x:f>MAX('Assumptions'!$D$122,D40*D42)</x:f>
        <x:v>669.3285196658887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 t="str">
        <x:v>Series B claim value</x:v>
      </x:c>
      <x:c r="D44" s="6" t="n">
        <x:f>MAX('Assumptions'!$D$123,D41*D42)</x:f>
        <x:v>585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 t="str">
        <x:v>Residual common equity value</x:v>
      </x:c>
      <x:c r="D45" s="2" t="n">
        <x:f>D42*D38</x:f>
        <x:v>7763.725473675479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 t="str">
        <x:v>Equity allocation reconciliation</x:v>
      </x:c>
      <x:c r="D46" s="2" t="n">
        <x:f>D37-SUM(D43:D45)</x:f>
        <x:v>0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 t="str">
        <x:v>Terminal value / enterprise value</x:v>
      </x:c>
      <x:c r="D48" s="18" t="n">
        <x:f>D32/D33</x:f>
        <x:v>0.7581316095512722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 t="str">
        <x:v>Exit multiple cross-check EV</x:v>
      </x:c>
      <x:c r="D49" s="6" t="n">
        <x:f>D29+'Operations'!M22*'Assumptions'!$D$89/(1+D27)^M19</x:f>
        <x:v>14273.176528473736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 t="str">
        <x:v>Exit multiple cross-check per share</x:v>
      </x:c>
      <x:c r="D50" s="32" t="n">
        <x:f>IF((D49+D35-D36)&lt;'Valuation'!$D$38*'Assumptions'!$D$124+'Assumptions'!$D$122+'Assumptions'!$D$123,((D49+D35-D36)-'Assumptions'!$D$122-'Assumptions'!$D$123)/'Valuation'!$D$38,IF((D49+D35-D36)&lt;('Valuation'!$D$38+'Valuation'!$D$40)*'Assumptions'!$D$125+'Assumptions'!$D$123,((D49+D35-D36)-'Assumptions'!$D$123)/('Valuation'!$D$38+'Valuation'!$D$40),(D49+D35-D36)/('Valuation'!$D$38+'Valuation'!$D$40+'Valuation'!$D$41)))</x:f>
        <x:v>49.360056505842564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 t="str">
        <x:v>Jan 2027 standalone EV</x:v>
      </x:c>
      <x:c r="D52" s="2" t="n">
        <x:f> (D33-H20)*(1+D27)^(4/12)</x:f>
        <x:v>9204.808535777842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 t="str">
        <x:v>Jan 2027 value to all equity claims</x:v>
      </x:c>
      <x:c r="D53" s="6" t="n">
        <x:f>D52+'Financing'!I14-'Financing'!I21</x:f>
        <x:v>9312.771617670993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 t="str">
        <x:v>Jan 2027 standalone common price</x:v>
      </x:c>
      <x:c r="D54" s="32" t="n">
        <x:f>IF(D53&lt;'Valuation'!$D$38*'Assumptions'!$D$124+'Assumptions'!$D$122+'Assumptions'!$D$123,(D53-'Assumptions'!$D$122-'Assumptions'!$D$123)/'Valuation'!$D$38,IF(D53&lt;('Valuation'!$D$38+'Valuation'!$D$40)*'Assumptions'!$D$125+'Assumptions'!$D$123,(D53-'Assumptions'!$D$123)/('Valuation'!$D$38+'Valuation'!$D$40),D53/('Valuation'!$D$38+'Valuation'!$D$40+'Valuation'!$D$41)))</x:f>
        <x:v>31.4872797050654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2" t="str">
        <x:v>Jan 2027 close. Current common + full award claims held fixed through close; pre-close new awards require refresh.</x:v>
      </x:c>
    </x:row>
    <x:row r="55" ht="21" customHeight="1">
      <x:c r="A55" s="1"/>
      <x:c r="B55" s="1"/>
      <x:c r="C55" s="1" t="str">
        <x:v>Jan 2027 existing preferred value</x:v>
      </x:c>
      <x:c r="D55" s="2" t="n">
        <x:f>D53-D54*D38</x:f>
        <x:v>1277.7201535114373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Trading comparables at 31 August 2026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1" customHeight="1">
      <x:c r="A6" s="1"/>
      <x:c r="B6" s="1"/>
      <x:c r="C6" s="1"/>
      <x:c r="D6" s="2" t="str">
        <x:v>Monster</x:v>
      </x:c>
      <x:c r="E6" s="2" t="str">
        <x:v>Coca-Cola</x:v>
      </x:c>
      <x:c r="F6" s="2" t="str">
        <x:v>PepsiCo (context)</x:v>
      </x:c>
      <x:c r="G6" s="2"/>
      <x:c r="H6" s="2"/>
      <x:c r="I6" s="2"/>
      <x:c r="J6" s="2"/>
      <x:c r="K6" s="2"/>
      <x:c r="L6" s="2"/>
      <x:c r="M6" s="2"/>
      <x:c r="N6" s="1"/>
      <x:c r="O6" s="1"/>
    </x:row>
    <x:row r="7" ht="21" customHeight="1">
      <x:c r="A7" s="1"/>
      <x:c r="B7" s="1"/>
      <x:c r="C7" s="1" t="str">
        <x:v>Closing share price (USD)</x:v>
      </x:c>
      <x:c r="D7" s="11" t="n">
        <x:v>45.92</x:v>
      </x:c>
      <x:c r="E7" s="11" t="n">
        <x:v>88.67</x:v>
      </x:c>
      <x:c r="F7" s="11" t="n">
        <x:v>140.34</x:v>
      </x:c>
      <x:c r="G7" s="2"/>
      <x:c r="H7" s="2"/>
      <x:c r="I7" s="2"/>
      <x:c r="J7" s="2"/>
      <x:c r="K7" s="2"/>
      <x:c r="L7" s="2"/>
      <x:c r="M7" s="2"/>
      <x:c r="N7" s="1"/>
      <x:c r="O7" s="12" t="str">
        <x:v>S10, S11, S16</x:v>
      </x:c>
    </x:row>
    <x:row r="8" ht="21" customHeight="1">
      <x:c r="A8" s="1"/>
      <x:c r="B8" s="1"/>
      <x:c r="C8" s="1" t="str">
        <x:v>Latest shares before stock split (m)</x:v>
      </x:c>
      <x:c r="D8" s="11" t="n">
        <x:v>979.525882</x:v>
      </x:c>
      <x:c r="E8" s="11" t="n">
        <x:v>4302.549243</x:v>
      </x:c>
      <x:c r="F8" s="11" t="n">
        <x:v>1364.891558</x:v>
      </x:c>
      <x:c r="G8" s="2"/>
      <x:c r="H8" s="2"/>
      <x:c r="I8" s="2"/>
      <x:c r="J8" s="2"/>
      <x:c r="K8" s="2"/>
      <x:c r="L8" s="2"/>
      <x:c r="M8" s="2"/>
      <x:c r="N8" s="1"/>
      <x:c r="O8" s="12" t="str">
        <x:v>S12, S13, S17</x:v>
      </x:c>
    </x:row>
    <x:row r="9" ht="21" customHeight="1">
      <x:c r="A9" s="1"/>
      <x:c r="B9" s="1"/>
      <x:c r="C9" s="1" t="str">
        <x:v>Stock split adjustment factor</x:v>
      </x:c>
      <x:c r="D9" s="11" t="n">
        <x:v>2</x:v>
      </x:c>
      <x:c r="E9" s="11" t="n">
        <x:v>1</x:v>
      </x:c>
      <x:c r="F9" s="11" t="n">
        <x:v>1</x:v>
      </x:c>
      <x:c r="G9" s="2"/>
      <x:c r="H9" s="2"/>
      <x:c r="I9" s="2"/>
      <x:c r="J9" s="2"/>
      <x:c r="K9" s="2"/>
      <x:c r="L9" s="2"/>
      <x:c r="M9" s="2"/>
      <x:c r="N9" s="1"/>
      <x:c r="O9" s="12" t="str">
        <x:v>S08, S09, S15</x:v>
      </x:c>
    </x:row>
    <x:row r="10" ht="21" customHeight="1">
      <x:c r="A10" s="1"/>
      <x:c r="B10" s="1"/>
      <x:c r="C10" s="1" t="str">
        <x:v>Adjusted shares outstanding (m)</x:v>
      </x:c>
      <x:c r="D10" s="2" t="n">
        <x:f>D8*D9</x:f>
        <x:v>1959.051764</x:v>
      </x:c>
      <x:c r="E10" s="2" t="n">
        <x:f>E8*E9</x:f>
        <x:v>4302.549243</x:v>
      </x:c>
      <x:c r="F10" s="2" t="n">
        <x:f>F8*F9</x:f>
        <x:v>1364.891558</x:v>
      </x:c>
      <x:c r="G10" s="2"/>
      <x:c r="H10" s="2"/>
      <x:c r="I10" s="2"/>
      <x:c r="J10" s="2"/>
      <x:c r="K10" s="2"/>
      <x:c r="L10" s="2"/>
      <x:c r="M10" s="2"/>
      <x:c r="N10" s="1"/>
      <x:c r="O10" s="1"/>
    </x:row>
    <x:row r="11" ht="21" customHeight="1">
      <x:c r="A11" s="1"/>
      <x:c r="B11" s="1"/>
      <x:c r="C11" s="1" t="str">
        <x:v>Common market value</x:v>
      </x:c>
      <x:c r="D11" s="2" t="n">
        <x:f>D7*D10</x:f>
        <x:v>89959.65700288</x:v>
      </x:c>
      <x:c r="E11" s="2" t="n">
        <x:f>E7*E10</x:f>
        <x:v>381507.04137681006</x:v>
      </x:c>
      <x:c r="F11" s="2" t="n">
        <x:f>F7*F10</x:f>
        <x:v>191548.88124972</x:v>
      </x:c>
      <x:c r="G11" s="2"/>
      <x:c r="H11" s="2"/>
      <x:c r="I11" s="2"/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 t="str">
        <x:v>Gross borrowings</x:v>
      </x:c>
      <x:c r="D12" s="11" t="n">
        <x:v>0</x:v>
      </x:c>
      <x:c r="E12" s="11" t="n">
        <x:v>43543</x:v>
      </x:c>
      <x:c r="F12" s="11" t="n">
        <x:v>53214</x:v>
      </x:c>
      <x:c r="G12" s="2"/>
      <x:c r="H12" s="2"/>
      <x:c r="I12" s="2"/>
      <x:c r="J12" s="2"/>
      <x:c r="K12" s="2"/>
      <x:c r="L12" s="2"/>
      <x:c r="M12" s="2"/>
      <x:c r="N12" s="1"/>
      <x:c r="O12" s="1"/>
    </x:row>
    <x:row r="13" ht="21" customHeight="1">
      <x:c r="A13" s="1"/>
      <x:c r="B13" s="1"/>
      <x:c r="C13" s="1" t="str">
        <x:v>Non-controlling interests, book proxy</x:v>
      </x:c>
      <x:c r="D13" s="11" t="n">
        <x:v>0</x:v>
      </x:c>
      <x:c r="E13" s="11" t="n">
        <x:v>2165</x:v>
      </x:c>
      <x:c r="F13" s="11" t="n">
        <x:v>172</x:v>
      </x:c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1" customHeight="1">
      <x:c r="A14" s="1"/>
      <x:c r="B14" s="1"/>
      <x:c r="C14" s="1" t="str">
        <x:v>Cash and equivalents</x:v>
      </x:c>
      <x:c r="D14" s="11" t="n">
        <x:v>2192.424</x:v>
      </x:c>
      <x:c r="E14" s="11" t="n">
        <x:v>12907</x:v>
      </x:c>
      <x:c r="F14" s="11" t="n">
        <x:v>10251</x:v>
      </x:c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 t="str">
        <x:v>Liquid investments</x:v>
      </x:c>
      <x:c r="D15" s="11" t="n">
        <x:v>2008.146</x:v>
      </x:c>
      <x:c r="E15" s="11" t="n">
        <x:v>3464</x:v>
      </x:c>
      <x:c r="F15" s="11" t="n">
        <x:v>465</x:v>
      </x:c>
      <x:c r="G15" s="2"/>
      <x:c r="H15" s="2"/>
      <x:c r="I15" s="2"/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1" t="str">
        <x:v>Enterprise value</x:v>
      </x:c>
      <x:c r="D16" s="2" t="n">
        <x:f>D11+D12+D13-D14-D15</x:f>
        <x:v>85759.08700288001</x:v>
      </x:c>
      <x:c r="E16" s="2" t="n">
        <x:f>E11+E12+E13-E14-E15</x:f>
        <x:v>410844.04137681006</x:v>
      </x:c>
      <x:c r="F16" s="2" t="n">
        <x:f>F11+F12+F13-F14-F15</x:f>
        <x:v>234218.88124972</x:v>
      </x:c>
      <x:c r="G16" s="2"/>
      <x:c r="H16" s="2"/>
      <x:c r="I16" s="2"/>
      <x:c r="J16" s="2"/>
      <x:c r="K16" s="2"/>
      <x:c r="L16" s="2"/>
      <x:c r="M16" s="2"/>
      <x:c r="N16" s="1"/>
      <x:c r="O16" s="12" t="str">
        <x:v>EV includes debt and NCI less cash/liquid securities. Operating lease obligations excluded consistently. Book debt and NCI proxy market values.</x:v>
      </x:c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1"/>
      <x:c r="O18" s="1"/>
    </x:row>
    <x:row r="19" ht="21" customHeight="1">
      <x:c r="A19" s="1"/>
      <x:c r="B19" s="1"/>
      <x:c r="C19" s="1" t="str">
        <x:v>FY2025 revenue</x:v>
      </x:c>
      <x:c r="D19" s="11" t="n">
        <x:v>8294.343</x:v>
      </x:c>
      <x:c r="E19" s="11" t="n">
        <x:v>47941</x:v>
      </x:c>
      <x:c r="F19" s="11" t="n">
        <x:v>93925</x:v>
      </x:c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 t="str">
        <x:v>H1 2026 revenue</x:v>
      </x:c>
      <x:c r="D20" s="11" t="n">
        <x:v>4890.764</x:v>
      </x:c>
      <x:c r="E20" s="11" t="n">
        <x:v>25852</x:v>
      </x:c>
      <x:c r="F20" s="11" t="n">
        <x:v>43624</x:v>
      </x:c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 t="str">
        <x:v>H1 2025 revenue</x:v>
      </x:c>
      <x:c r="D21" s="11" t="n">
        <x:v>3966.15</x:v>
      </x:c>
      <x:c r="E21" s="11" t="n">
        <x:v>23664</x:v>
      </x:c>
      <x:c r="F21" s="11" t="n">
        <x:v>40645</x:v>
      </x:c>
      <x:c r="G21" s="2"/>
      <x:c r="H21" s="2"/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 t="str">
        <x:v>LTM revenue</x:v>
      </x:c>
      <x:c r="D22" s="2" t="n">
        <x:f>D19+D20-D21</x:f>
        <x:v>9218.957</x:v>
      </x:c>
      <x:c r="E22" s="2" t="n">
        <x:f>E19+E20-E21</x:f>
        <x:v>50129</x:v>
      </x:c>
      <x:c r="F22" s="2" t="n">
        <x:f>F19+F20-F21</x:f>
        <x:v>96904</x:v>
      </x:c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 t="str">
        <x:v>FY2025 EBIT</x:v>
      </x:c>
      <x:c r="D24" s="11" t="n">
        <x:v>2419.354</x:v>
      </x:c>
      <x:c r="E24" s="11" t="n">
        <x:v>13762</x:v>
      </x:c>
      <x:c r="F24" s="11" t="n">
        <x:v>11498</x:v>
      </x:c>
      <x:c r="G24" s="2"/>
      <x:c r="H24" s="2"/>
      <x:c r="I24" s="2"/>
      <x:c r="J24" s="2"/>
      <x:c r="K24" s="2"/>
      <x:c r="L24" s="2"/>
      <x:c r="M24" s="2"/>
      <x:c r="N24" s="1"/>
      <x:c r="O24" s="12" t="str">
        <x:v>Historical GAAP EBIT + cash-flow D&amp;A; SBC retained. No dated consensus estimates used.</x:v>
      </x:c>
    </x:row>
    <x:row r="25" ht="21" customHeight="1">
      <x:c r="A25" s="1"/>
      <x:c r="B25" s="1"/>
      <x:c r="C25" s="1" t="str">
        <x:v>H1 2026 EBIT</x:v>
      </x:c>
      <x:c r="D25" s="11" t="n">
        <x:v>1470.401</x:v>
      </x:c>
      <x:c r="E25" s="11" t="n">
        <x:v>9031</x:v>
      </x:c>
      <x:c r="F25" s="11" t="n">
        <x:v>7236</x:v>
      </x:c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 t="str">
        <x:v>H1 2025 EBIT</x:v>
      </x:c>
      <x:c r="D26" s="11" t="n">
        <x:v>1201.367</x:v>
      </x:c>
      <x:c r="E26" s="11" t="n">
        <x:v>7939</x:v>
      </x:c>
      <x:c r="F26" s="11" t="n">
        <x:v>4372</x:v>
      </x:c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 t="str">
        <x:v>LTM EBIT</x:v>
      </x:c>
      <x:c r="D27" s="2" t="n">
        <x:f>D24+D25-D26</x:f>
        <x:v>2688.388</x:v>
      </x:c>
      <x:c r="E27" s="2" t="n">
        <x:f>E24+E25-E26</x:f>
        <x:v>14854</x:v>
      </x:c>
      <x:c r="F27" s="2" t="n">
        <x:f>F24+F25-F26</x:f>
        <x:v>14362</x:v>
      </x:c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 t="str">
        <x:v>FY2025 D&amp;A</x:v>
      </x:c>
      <x:c r="D29" s="11" t="n">
        <x:v>114.441</x:v>
      </x:c>
      <x:c r="E29" s="11" t="n">
        <x:v>1050</x:v>
      </x:c>
      <x:c r="F29" s="11" t="n">
        <x:v>3451</x:v>
      </x:c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 t="str">
        <x:v>H1 2026 D&amp;A</x:v>
      </x:c>
      <x:c r="D30" s="11" t="n">
        <x:v>58.184</x:v>
      </x:c>
      <x:c r="E30" s="11" t="n">
        <x:v>530</x:v>
      </x:c>
      <x:c r="F30" s="11" t="n">
        <x:v>1639</x:v>
      </x:c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 t="str">
        <x:v>H1 2025 D&amp;A</x:v>
      </x:c>
      <x:c r="D31" s="11" t="n">
        <x:v>52.405</x:v>
      </x:c>
      <x:c r="E31" s="11" t="n">
        <x:v>546</x:v>
      </x:c>
      <x:c r="F31" s="11" t="n">
        <x:v>1491</x:v>
      </x:c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 t="str">
        <x:v>LTM D&amp;A</x:v>
      </x:c>
      <x:c r="D32" s="2" t="n">
        <x:f>D29+D30-D31</x:f>
        <x:v>120.22</x:v>
      </x:c>
      <x:c r="E32" s="2" t="n">
        <x:f>E29+E30-E31</x:f>
        <x:v>1034</x:v>
      </x:c>
      <x:c r="F32" s="2" t="n">
        <x:f>F29+F30-F31</x:f>
        <x:v>3599</x:v>
      </x:c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 t="str">
        <x:v>LTM EBITDA, SBC retained</x:v>
      </x:c>
      <x:c r="D33" s="2" t="n">
        <x:f>D27+D32</x:f>
        <x:v>2808.6079999999997</x:v>
      </x:c>
      <x:c r="E33" s="2" t="n">
        <x:f>E27+E32</x:f>
        <x:v>15888</x:v>
      </x:c>
      <x:c r="F33" s="2" t="n">
        <x:f>F27+F32</x:f>
        <x:v>17961</x:v>
      </x:c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 t="str">
        <x:v>EV / LTM revenue</x:v>
      </x:c>
      <x:c r="D35" s="2" t="n">
        <x:f>D16/D22</x:f>
        <x:v>9.302471744133312</x:v>
      </x:c>
      <x:c r="E35" s="2" t="n">
        <x:f>E16/E22</x:f>
        <x:v>8.195735829097131</x:v>
      </x:c>
      <x:c r="F35" s="2" t="n">
        <x:f>F16/F22</x:f>
        <x:v>2.4170197437641376</x:v>
      </x:c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 t="str">
        <x:v>EV / LTM EBITDA</x:v>
      </x:c>
      <x:c r="D36" s="2" t="n">
        <x:f>D16/D33</x:f>
        <x:v>30.534373968485465</x:v>
      </x:c>
      <x:c r="E36" s="2" t="n">
        <x:f>E16/E33</x:f>
        <x:v>25.858763933585728</x:v>
      </x:c>
      <x:c r="F36" s="2" t="n">
        <x:f>F16/F33</x:f>
        <x:v>13.040414300413117</x:v>
      </x:c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4" customHeight="1">
      <x:c r="A39" s="1"/>
      <x:c r="B39" s="1"/>
      <x:c r="C39" s="16" t="str">
        <x:v>Selected range: judgement anchored to peers</x:v>
      </x:c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"/>
      <x:c r="O39" s="1"/>
    </x:row>
    <x:row r="40" ht="21" customHeight="1">
      <x:c r="A40" s="1"/>
      <x:c r="B40" s="1"/>
      <x:c r="C40" s="1" t="str">
        <x:v>Selected EV / normalised LTM EBITDA</x:v>
      </x:c>
      <x:c r="D40" s="11" t="n">
        <x:v>18</x:v>
      </x:c>
      <x:c r="E40" s="11" t="n">
        <x:v>24</x:v>
      </x:c>
      <x:c r="F40" s="2"/>
      <x:c r="G40" s="2"/>
      <x:c r="H40" s="2"/>
      <x:c r="I40" s="2"/>
      <x:c r="J40" s="2"/>
      <x:c r="K40" s="2"/>
      <x:c r="L40" s="2"/>
      <x:c r="M40" s="2"/>
      <x:c r="N40" s="1"/>
      <x:c r="O40" s="12" t="str">
        <x:v>18-24x judgement, not peer average. Monster closest but larger/global; KO franchise economics differ. PEP food mix is context only.</x:v>
      </x:c>
    </x:row>
    <x:row r="41" ht="21" customHeight="1">
      <x:c r="A41" s="1"/>
      <x:c r="B41" s="1"/>
      <x:c r="C41" s="1" t="str">
        <x:v>CELH normalised LTM EBITDA</x:v>
      </x:c>
      <x:c r="D41" s="6" t="n">
        <x:f>'History'!F82+'History'!G82-'History'!H82</x:f>
        <x:v>663.4639999999999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2" t="str">
        <x:v>CELH one-offs normalised explicitly. H1 acquisitions distort LTM comparability; peer impairments and affiliate holdings limit precision.</x:v>
      </x:c>
    </x:row>
    <x:row r="42" ht="21" customHeight="1">
      <x:c r="A42" s="1"/>
      <x:c r="B42" s="1"/>
      <x:c r="C42" s="1" t="str">
        <x:v>Implied EV</x:v>
      </x:c>
      <x:c r="D42" s="2" t="n">
        <x:f>D40*$D$41</x:f>
        <x:v>11942.351999999999</x:v>
      </x:c>
      <x:c r="E42" s="2" t="n">
        <x:f>E40*$D$41</x:f>
        <x:v>15923.135999999999</x:v>
      </x:c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 t="str">
        <x:v>Implied common value per share</x:v>
      </x:c>
      <x:c r="D43" s="32" t="n">
        <x:f>IF((D42+'Valuation'!D35-'Valuation'!D36)&lt;'Valuation'!$D$38*'Assumptions'!$D$124+'Assumptions'!$D$122+'Assumptions'!$D$123,((D42+'Valuation'!D35-'Valuation'!D36)-'Assumptions'!$D$122-'Assumptions'!$D$123)/'Valuation'!$D$38,IF((D42+'Valuation'!D35-'Valuation'!D36)&lt;('Valuation'!$D$38+'Valuation'!$D$40)*'Assumptions'!$D$125+'Assumptions'!$D$123,((D42+'Valuation'!D35-'Valuation'!D36)-'Assumptions'!$D$123)/('Valuation'!$D$38+'Valuation'!$D$40),(D42+'Valuation'!D35-'Valuation'!D36)/('Valuation'!$D$38+'Valuation'!$D$40+'Valuation'!$D$41)))</x:f>
        <x:v>40.95111467206618</x:v>
      </x:c>
      <x:c r="E43" s="32" t="n">
        <x:f>IF((E42+'Valuation'!D35-'Valuation'!D36)&lt;'Valuation'!$D$38*'Assumptions'!$D$124+'Assumptions'!$D$122+'Assumptions'!$D$123,((E42+'Valuation'!D35-'Valuation'!D36)-'Assumptions'!$D$122-'Assumptions'!$D$123)/'Valuation'!$D$38,IF((E42+'Valuation'!D35-'Valuation'!D36)&lt;('Valuation'!$D$38+'Valuation'!$D$40)*'Assumptions'!$D$125+'Assumptions'!$D$123,((E42+'Valuation'!D35-'Valuation'!D36)-'Assumptions'!$D$123)/('Valuation'!$D$38+'Valuation'!$D$40),(E42+'Valuation'!D35-'Valuation'!D36)/('Valuation'!$D$38+'Valuation'!$D$40+'Valuation'!$D$41)))</x:f>
        <x:v>55.17303288251749</x:v>
      </x:c>
      <x:c r="F43" s="2"/>
      <x:c r="G43" s="2"/>
      <x:c r="H43" s="2"/>
      <x:c r="I43" s="2"/>
      <x:c r="J43" s="2"/>
      <x:c r="K43" s="2"/>
      <x:c r="L43" s="2"/>
      <x:c r="M43" s="2"/>
      <x:c r="N43" s="1"/>
      <x:c r="O43" s="12" t="str">
        <x:v>KO held-for-sale balances and equity-method investments not separately revalued; context, not a direct valuation anchor.</x:v>
      </x:c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Relevant transaction evidence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1" customHeight="1">
      <x:c r="A6" s="1"/>
      <x:c r="B6" s="1"/>
      <x:c r="C6" s="1" t="str">
        <x:v>Transaction</x:v>
      </x:c>
      <x:c r="D6" s="2" t="str">
        <x:v>Date</x:v>
      </x:c>
      <x:c r="E6" s="2" t="str">
        <x:v>Stake</x:v>
      </x:c>
      <x:c r="F6" s="2" t="str">
        <x:v>Value USDm</x:v>
      </x:c>
      <x:c r="G6" s="2" t="str">
        <x:v>Revenue USDm</x:v>
      </x:c>
      <x:c r="H6" s="2" t="str">
        <x:v>Headline / sales</x:v>
      </x:c>
      <x:c r="I6" s="2"/>
      <x:c r="J6" s="2"/>
      <x:c r="K6" s="2"/>
      <x:c r="L6" s="2"/>
      <x:c r="M6" s="2"/>
      <x:c r="N6" s="1"/>
      <x:c r="O6" s="1"/>
    </x:row>
    <x:row r="7" ht="21" customHeight="1">
      <x:c r="A7" s="1"/>
      <x:c r="B7" s="1"/>
      <x:c r="C7" s="1" t="str">
        <x:v>Alani Nu / Celsius</x:v>
      </x:c>
      <x:c r="D7" s="2" t="str">
        <x:v>20 Feb 2025</x:v>
      </x:c>
      <x:c r="E7" s="20" t="n">
        <x:v>1</x:v>
      </x:c>
      <x:c r="F7" s="11" t="n">
        <x:v>1800</x:v>
      </x:c>
      <x:c r="G7" s="11" t="n">
        <x:v>595</x:v>
      </x:c>
      <x:c r="H7" s="2" t="n">
        <x:f>F7/G7</x:f>
        <x:v>3.0252100840336134</x:v>
      </x:c>
      <x:c r="I7" s="2"/>
      <x:c r="J7" s="2"/>
      <x:c r="K7" s="2"/>
      <x:c r="L7" s="2"/>
      <x:c r="M7" s="2"/>
      <x:c r="N7" s="1"/>
      <x:c r="O7" s="12" t="str">
        <x:v>Announcement headline incl. earn-out; USD150m tax benefits / S19/S20</x:v>
      </x:c>
    </x:row>
    <x:row r="8" ht="21" customHeight="1">
      <x:c r="A8" s="1"/>
      <x:c r="B8" s="1"/>
      <x:c r="C8" s="1" t="str">
        <x:v>Poppi / PepsiCo</x:v>
      </x:c>
      <x:c r="D8" s="2" t="str">
        <x:v>19 May 2025</x:v>
      </x:c>
      <x:c r="E8" s="20" t="n">
        <x:v>1</x:v>
      </x:c>
      <x:c r="F8" s="11" t="n">
        <x:v>2150</x:v>
      </x:c>
      <x:c r="G8" s="2" t="str">
        <x:v>n.a.</x:v>
      </x:c>
      <x:c r="H8" s="2" t="str">
        <x:v>n.a.</x:v>
      </x:c>
      <x:c r="I8" s="2"/>
      <x:c r="J8" s="2"/>
      <x:c r="K8" s="2"/>
      <x:c r="L8" s="2"/>
      <x:c r="M8" s="2"/>
      <x:c r="N8" s="1"/>
      <x:c r="O8" s="12" t="str">
        <x:v>USD1,950m cash + USD200m acquisition-date contingent FV / S08/S21</x:v>
      </x:c>
    </x:row>
    <x:row r="9" ht="21" customHeight="1">
      <x:c r="A9" s="1"/>
      <x:c r="B9" s="1"/>
      <x:c r="C9" s="1" t="str">
        <x:v>Rockstar / PepsiCo</x:v>
      </x:c>
      <x:c r="D9" s="2" t="str">
        <x:v>24 Apr 2020</x:v>
      </x:c>
      <x:c r="E9" s="20" t="n">
        <x:v>1</x:v>
      </x:c>
      <x:c r="F9" s="11" t="n">
        <x:v>4550</x:v>
      </x:c>
      <x:c r="G9" s="2" t="str">
        <x:v>n.a.</x:v>
      </x:c>
      <x:c r="H9" s="2" t="str">
        <x:v>n.a.</x:v>
      </x:c>
      <x:c r="I9" s="2"/>
      <x:c r="J9" s="2"/>
      <x:c r="K9" s="2"/>
      <x:c r="L9" s="2"/>
      <x:c r="M9" s="2"/>
      <x:c r="N9" s="1"/>
      <x:c r="O9" s="12" t="str">
        <x:v>USD3,850m upfront + USD700m contingent tax benefits / S22/S23</x:v>
      </x:c>
    </x:row>
    <x:row r="10" ht="21" customHeight="1">
      <x:c r="A10" s="1"/>
      <x:c r="B10" s="1"/>
      <x:c r="C10" s="1" t="str">
        <x:v>BODYARMOR / Coca-Cola</x:v>
      </x:c>
      <x:c r="D10" s="2" t="str">
        <x:v>1 Nov 2021</x:v>
      </x:c>
      <x:c r="E10" s="20" t="n">
        <x:v>0.85</x:v>
      </x:c>
      <x:c r="F10" s="11" t="n">
        <x:v>5600</x:v>
      </x:c>
      <x:c r="G10" s="2" t="str">
        <x:v>n.a.</x:v>
      </x:c>
      <x:c r="H10" s="2" t="str">
        <x:v>n.a.</x:v>
      </x:c>
      <x:c r="I10" s="2"/>
      <x:c r="J10" s="2"/>
      <x:c r="K10" s="2"/>
      <x:c r="L10" s="2"/>
      <x:c r="M10" s="2"/>
      <x:c r="N10" s="1"/>
      <x:c r="O10" s="12" t="str">
        <x:v>Remaining 85%; no control EV multiple from retail sales / S24</x:v>
      </x:c>
    </x:row>
    <x:row r="11" ht="21" customHeight="1">
      <x:c r="A11" s="1"/>
      <x:c r="B11" s="1"/>
      <x:c r="C11" s="1" t="str">
        <x:v>Celsius Series A / PepsiCo</x:v>
      </x:c>
      <x:c r="D11" s="2" t="str">
        <x:v>1 Aug 2022</x:v>
      </x:c>
      <x:c r="E11" s="18" t="str">
        <x:v>n.a.</x:v>
      </x:c>
      <x:c r="F11" s="11" t="n">
        <x:v>550</x:v>
      </x:c>
      <x:c r="G11" s="2" t="str">
        <x:v>n.a.</x:v>
      </x:c>
      <x:c r="H11" s="2" t="str">
        <x:v>n.a.</x:v>
      </x:c>
      <x:c r="I11" s="2"/>
      <x:c r="J11" s="2"/>
      <x:c r="K11" s="2"/>
      <x:c r="L11" s="2"/>
      <x:c r="M11" s="2"/>
      <x:c r="N11" s="1"/>
      <x:c r="O11" s="12" t="str">
        <x:v>Minority preferred plus distribution, not common control / S01/S03</x:v>
      </x:c>
    </x:row>
    <x:row r="12" ht="21" customHeight="1">
      <x:c r="A12" s="1"/>
      <x:c r="B12" s="1"/>
      <x:c r="C12" s="1" t="str">
        <x:v>Celsius Series B / PepsiCo</x:v>
      </x:c>
      <x:c r="D12" s="2" t="str">
        <x:v>28 Aug 2025</x:v>
      </x:c>
      <x:c r="E12" s="18" t="str">
        <x:v>n.a.</x:v>
      </x:c>
      <x:c r="F12" s="11" t="n">
        <x:v>585</x:v>
      </x:c>
      <x:c r="G12" s="2" t="str">
        <x:v>n.a.</x:v>
      </x:c>
      <x:c r="H12" s="2" t="str">
        <x:v>n.a.</x:v>
      </x:c>
      <x:c r="I12" s="2"/>
      <x:c r="J12" s="2"/>
      <x:c r="K12" s="2"/>
      <x:c r="L12" s="2"/>
      <x:c r="M12" s="2"/>
      <x:c r="N12" s="1"/>
      <x:c r="O12" s="12" t="str">
        <x:v>Minority preferred, non-cash package; stated value not control EV / S03/S07</x:v>
      </x:c>
    </x:row>
    <x:row r="13" ht="21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1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1" t="str">
        <x:v>Alani fully synergised EBITDA</x:v>
      </x:c>
      <x:c r="D16" s="11" t="n">
        <x:v>137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1"/>
      <x:c r="O16" s="1"/>
    </x:row>
    <x:row r="17" ht="21" customHeight="1">
      <x:c r="A17" s="1"/>
      <x:c r="B17" s="1"/>
      <x:c r="C17" s="1" t="str">
        <x:v>Net purchase price after tax benefits</x:v>
      </x:c>
      <x:c r="D17" s="11" t="n">
        <x:v>1650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 t="str">
        <x:v>Net price / fully synergised EBITDA</x:v>
      </x:c>
      <x:c r="D18" s="2" t="n">
        <x:f>D17/D16</x:f>
        <x:v>12.043795620437956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1"/>
      <x:c r="O18" s="12" t="str">
        <x:v>Includes target synergies and tax benefits. Not a standalone historical EBITDA multiple.</x:v>
      </x:c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 t="str">
        <x:v>Precedent valuation range</x:v>
      </x:c>
      <x:c r="D21" s="2" t="str">
        <x:v>Not used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1"/>
      <x:c r="O21" s="12" t="str">
        <x:v>Only one supportable sales denominator. Show contextual Alani 3.03x reference, not a fabricated multi-deal range.</x:v>
      </x:c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Remaining ownership acquisition and sources / uses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1"/>
      <x:c r="O6" s="1"/>
    </x:row>
    <x:row r="7" ht="21" customHeight="1">
      <x:c r="A7" s="1"/>
      <x:c r="B7" s="1"/>
      <x:c r="C7" s="1" t="str">
        <x:v>Market price</x:v>
      </x:c>
      <x:c r="D7" s="32" t="n">
        <x:f>'Assumptions'!$D$90</x:f>
        <x:v>31.45</x:v>
      </x:c>
      <x:c r="E7" s="2"/>
      <x:c r="F7" s="2"/>
      <x:c r="G7" s="2"/>
      <x:c r="H7" s="2"/>
      <x:c r="I7" s="2"/>
      <x:c r="J7" s="2"/>
      <x:c r="K7" s="2"/>
      <x:c r="L7" s="2"/>
      <x:c r="M7" s="2"/>
      <x:c r="N7" s="1"/>
      <x:c r="O7" s="1"/>
    </x:row>
    <x:row r="8" ht="21" customHeight="1">
      <x:c r="A8" s="1"/>
      <x:c r="B8" s="1"/>
      <x:c r="C8" s="1" t="str">
        <x:v>Offer premium</x:v>
      </x:c>
      <x:c r="D8" s="33" t="n">
        <x:f>'Assumptions'!$D$91</x:f>
        <x:v>0.25</x:v>
      </x:c>
      <x:c r="E8" s="2"/>
      <x:c r="F8" s="2"/>
      <x:c r="G8" s="2"/>
      <x:c r="H8" s="2"/>
      <x:c r="I8" s="2"/>
      <x:c r="J8" s="2"/>
      <x:c r="K8" s="2"/>
      <x:c r="L8" s="2"/>
      <x:c r="M8" s="2"/>
      <x:c r="N8" s="1"/>
      <x:c r="O8" s="1"/>
    </x:row>
    <x:row r="9" ht="21" customHeight="1">
      <x:c r="A9" s="1"/>
      <x:c r="B9" s="1"/>
      <x:c r="C9" s="1" t="str">
        <x:v>Offer price</x:v>
      </x:c>
      <x:c r="D9" s="34" t="n">
        <x:f>D7*(1+D8)</x:f>
        <x:v>39.3125</x:v>
      </x:c>
      <x:c r="E9" s="2"/>
      <x:c r="F9" s="2"/>
      <x:c r="G9" s="2"/>
      <x:c r="H9" s="2"/>
      <x:c r="I9" s="2"/>
      <x:c r="J9" s="2"/>
      <x:c r="K9" s="2"/>
      <x:c r="L9" s="2"/>
      <x:c r="M9" s="2"/>
      <x:c r="N9" s="1"/>
      <x:c r="O9" s="1"/>
    </x:row>
    <x:row r="10" ht="21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1"/>
      <x:c r="O10" s="1"/>
    </x:row>
    <x:row r="11" ht="21" customHeight="1">
      <x:c r="A11" s="1"/>
      <x:c r="B11" s="1"/>
      <x:c r="C11" s="1" t="str">
        <x:v>Common outstanding</x:v>
      </x:c>
      <x:c r="D11" s="6" t="n">
        <x:f>'Assumptions'!$D$121</x:f>
        <x:v>253.035047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 t="str">
        <x:v>Award cash-out equivalent shares</x:v>
      </x:c>
      <x:c r="D12" s="6" t="n">
        <x:f>'Assumptions'!$D$120</x:f>
        <x:v>2.149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1"/>
      <x:c r="O12" s="1"/>
    </x:row>
    <x:row r="13" ht="21" customHeight="1">
      <x:c r="A13" s="1"/>
      <x:c r="B13" s="1"/>
      <x:c r="C13" s="1" t="str">
        <x:v>Fully diluted common shares</x:v>
      </x:c>
      <x:c r="D13" s="2" t="n">
        <x:f>D11+D12</x:f>
        <x:v>255.184047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1" customHeight="1">
      <x:c r="A14" s="1"/>
      <x:c r="B14" s="1"/>
      <x:c r="C14" s="1" t="str">
        <x:v>Existing PepsiCo common</x:v>
      </x:c>
      <x:c r="D14" s="6" t="n">
        <x:f>'Assumptions'!$D$127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1"/>
      <x:c r="O14" s="1"/>
    </x:row>
    <x:row r="15" ht="21" customHeight="1">
      <x:c r="A15" s="1"/>
      <x:c r="B15" s="1"/>
      <x:c r="C15" s="1" t="str">
        <x:v>Remaining common claims</x:v>
      </x:c>
      <x:c r="D15" s="2" t="n">
        <x:f>D13-D14</x:f>
        <x:v>255.184047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29" t="str">
        <x:v>Remaining equity purchase consideration</x:v>
      </x:c>
      <x:c r="D16" s="31" t="n">
        <x:f>D15*D9</x:f>
        <x:v>10031.9228476875</x:v>
      </x:c>
      <x:c r="E16" s="31"/>
      <x:c r="F16" s="31"/>
      <x:c r="G16" s="31"/>
      <x:c r="H16" s="31"/>
      <x:c r="I16" s="31"/>
      <x:c r="J16" s="31"/>
      <x:c r="K16" s="31"/>
      <x:c r="L16" s="31"/>
      <x:c r="M16" s="31"/>
      <x:c r="N16" s="1"/>
      <x:c r="O16" s="1"/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 t="str">
        <x:v>PepsiCo Series A converted equivalent</x:v>
      </x:c>
      <x:c r="D18" s="6" t="n">
        <x:f>'Valuation'!D40</x:f>
        <x:v>22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1"/>
      <x:c r="O18" s="1"/>
    </x:row>
    <x:row r="19" ht="21" customHeight="1">
      <x:c r="A19" s="1"/>
      <x:c r="B19" s="1"/>
      <x:c r="C19" s="1" t="str">
        <x:v>PepsiCo Series B converted equivalent</x:v>
      </x:c>
      <x:c r="D19" s="6" t="n">
        <x:f>'Valuation'!D41</x:f>
        <x:v>11.304347826086957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 t="str">
        <x:v>Total as-converted claims</x:v>
      </x:c>
      <x:c r="D20" s="2" t="n">
        <x:f>D13+D18+D19</x:f>
        <x:v>288.4883948260869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 t="str">
        <x:v>PepsiCo as-converted ownership</x:v>
      </x:c>
      <x:c r="D21" s="18" t="n">
        <x:f>(D14+D18+D19)/D20</x:f>
        <x:v>0.11544432435891999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 t="str">
        <x:v>Series A change-of-control claim</x:v>
      </x:c>
      <x:c r="D22" s="6" t="n">
        <x:f>MAX('Assumptions'!$D$122,D18*D9)</x:f>
        <x:v>864.875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1" customHeight="1">
      <x:c r="A23" s="1"/>
      <x:c r="B23" s="1"/>
      <x:c r="C23" s="1" t="str">
        <x:v>Series B change-of-control claim</x:v>
      </x:c>
      <x:c r="D23" s="6" t="n">
        <x:f>MAX('Assumptions'!$D$123,D19*D9)</x:f>
        <x:v>585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 t="str">
        <x:v>Existing holdings, non-cash cancellation</x:v>
      </x:c>
      <x:c r="D24" s="2" t="n">
        <x:f>D14*D9+D22+D23</x:f>
        <x:v>1449.875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2" t="str">
        <x:v>PepsiCo owns both preferred series. Assume agreed non-cash cancellation/rollover; no cheque to itself. Legal mechanics require confirmation.</x:v>
      </x:c>
    </x:row>
    <x:row r="25" ht="21" customHeight="1">
      <x:c r="A25" s="1"/>
      <x:c r="B25" s="1"/>
      <x:c r="C25" s="29" t="str">
        <x:v>Total equity transaction value</x:v>
      </x:c>
      <x:c r="D25" s="31" t="n">
        <x:f>D16+D24</x:f>
        <x:v>11481.7978476875</x:v>
      </x:c>
      <x:c r="E25" s="31"/>
      <x:c r="F25" s="31"/>
      <x:c r="G25" s="31"/>
      <x:c r="H25" s="31"/>
      <x:c r="I25" s="31"/>
      <x:c r="J25" s="31"/>
      <x:c r="K25" s="31"/>
      <x:c r="L25" s="31"/>
      <x:c r="M25" s="31"/>
      <x:c r="N25" s="1"/>
      <x:c r="O25" s="1"/>
    </x:row>
    <x:row r="26" ht="21" customHeight="1">
      <x:c r="A26" s="1"/>
      <x:c r="B26" s="1"/>
      <x:c r="C26" s="1" t="str">
        <x:v>Target gross debt at Jan 2027 close</x:v>
      </x:c>
      <x:c r="D26" s="6" t="n">
        <x:f>'Financing'!I21</x:f>
        <x:v>391.6434590534245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 t="str">
        <x:v>Target cash retained at close</x:v>
      </x:c>
      <x:c r="D27" s="6" t="n">
        <x:f>'Financing'!I14</x:f>
        <x:v>499.6065409465755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29" t="str">
        <x:v>Total transaction enterprise value</x:v>
      </x:c>
      <x:c r="D28" s="31" t="n">
        <x:f>D25+D26-D27</x:f>
        <x:v>11373.834765794349</x:v>
      </x:c>
      <x:c r="E28" s="31"/>
      <x:c r="F28" s="31"/>
      <x:c r="G28" s="31"/>
      <x:c r="H28" s="31"/>
      <x:c r="I28" s="31"/>
      <x:c r="J28" s="31"/>
      <x:c r="K28" s="31"/>
      <x:c r="L28" s="31"/>
      <x:c r="M28" s="31"/>
      <x:c r="N28" s="1"/>
      <x:c r="O28" s="12" t="str">
        <x:v>Full-company EV includes existing claims. Incremental cash purchase consideration is D16. Restricted cash excluded.</x:v>
      </x:c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 t="str">
        <x:v>Remaining common purchase price</x:v>
      </x:c>
      <x:c r="D31" s="2" t="n">
        <x:f>D16</x:f>
        <x:v>10031.9228476875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 t="str">
        <x:v>Refinance target gross debt</x:v>
      </x:c>
      <x:c r="D32" s="2" t="n">
        <x:f>D26</x:f>
        <x:v>391.6434590534245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 t="str">
        <x:v>Transaction fees</x:v>
      </x:c>
      <x:c r="D33" s="6" t="n">
        <x:f>D16*'Assumptions'!$D$95</x:f>
        <x:v>100.319228476875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 t="str">
        <x:v>Financing fees</x:v>
      </x:c>
      <x:c r="D34" s="6" t="n">
        <x:f>D39*'Assumptions'!$D$96</x:f>
        <x:v>95.57514613214953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29" t="str">
        <x:v>Total uses</x:v>
      </x:c>
      <x:c r="D35" s="31" t="n">
        <x:f>SUM(D31:D34)</x:f>
        <x:v>10619.460681349949</x:v>
      </x:c>
      <x:c r="E35" s="31"/>
      <x:c r="F35" s="31"/>
      <x:c r="G35" s="31"/>
      <x:c r="H35" s="31"/>
      <x:c r="I35" s="31"/>
      <x:c r="J35" s="31"/>
      <x:c r="K35" s="31"/>
      <x:c r="L35" s="31"/>
      <x:c r="M35" s="31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 t="str">
        <x:v>Funding base before debt fees</x:v>
      </x:c>
      <x:c r="D37" s="2" t="n">
        <x:f>SUM(D31:D33)</x:f>
        <x:v>10523.8855352178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 t="str">
        <x:v>Total funding, fee algebra</x:v>
      </x:c>
      <x:c r="D38" s="6" t="n">
        <x:f>D37/(1-'Assumptions'!$D$93*'Assumptions'!$D$96)</x:f>
        <x:v>10619.460681349949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 t="str">
        <x:v>New debt</x:v>
      </x:c>
      <x:c r="D39" s="6" t="n">
        <x:f>D38*'Assumptions'!$D$93</x:f>
        <x:v>6371.676408809969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 t="str">
        <x:v>PepsiCo cash</x:v>
      </x:c>
      <x:c r="D40" s="6" t="n">
        <x:f>D38*'Assumptions'!$D$92</x:f>
        <x:v>2123.89213626999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 t="str">
        <x:v>PepsiCo stock</x:v>
      </x:c>
      <x:c r="D41" s="6" t="n">
        <x:f>D38*(1-'Assumptions'!$D$93-'Assumptions'!$D$92)</x:f>
        <x:v>2123.89213626999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29" t="str">
        <x:v>Total sources</x:v>
      </x:c>
      <x:c r="D42" s="31" t="n">
        <x:f>SUM(D39:D41)</x:f>
        <x:v>10619.460681349949</x:v>
      </x:c>
      <x:c r="E42" s="31"/>
      <x:c r="F42" s="31"/>
      <x:c r="G42" s="31"/>
      <x:c r="H42" s="31"/>
      <x:c r="I42" s="31"/>
      <x:c r="J42" s="31"/>
      <x:c r="K42" s="31"/>
      <x:c r="L42" s="31"/>
      <x:c r="M42" s="31"/>
      <x:c r="N42" s="1"/>
      <x:c r="O42" s="1"/>
    </x:row>
    <x:row r="43" ht="21" customHeight="1">
      <x:c r="A43" s="1"/>
      <x:c r="B43" s="1"/>
      <x:c r="C43" s="1" t="str">
        <x:v>Sources minus uses</x:v>
      </x:c>
      <x:c r="D43" s="2" t="n">
        <x:f>D42-D35</x:f>
        <x:v>0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 t="str">
        <x:v>New PepsiCo shares issued</x:v>
      </x:c>
      <x:c r="D44" s="6" t="n">
        <x:f>D41/'Assumptions'!$D$106</x:f>
        <x:v>15.133904348510686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 t="str">
        <x:v>Equity value incl. existing claims</x:v>
      </x:c>
      <x:c r="D47" s="2" t="n">
        <x:f>D25</x:f>
        <x:v>11481.7978476875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2" t="str">
        <x:v>Illustrative allocation only. Preferred claim proxy used for existing interest fair value. Remeasurement gain excluded from recurring EPS.</x:v>
      </x:c>
    </x:row>
    <x:row r="48" ht="21" customHeight="1">
      <x:c r="A48" s="1"/>
      <x:c r="B48" s="1"/>
      <x:c r="C48" s="1" t="str">
        <x:v>Book net assets incl. mezzanine</x:v>
      </x:c>
      <x:c r="D48" s="6" t="n">
        <x:f>'Statements'!I68+'Statements'!I69</x:f>
        <x:v>3194.1368994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 t="str">
        <x:v>Remove existing goodwill</x:v>
      </x:c>
      <x:c r="D49" s="6" t="n">
        <x:f>-'Statements'!I50</x:f>
        <x:v>-919.66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 t="str">
        <x:v>Incremental identifiable intangible uplift</x:v>
      </x:c>
      <x:c r="D50" s="6" t="n">
        <x:f>'Assumptions'!$D$98</x:f>
        <x:v>1000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 t="str">
        <x:v>Inventory fair-value uplift</x:v>
      </x:c>
      <x:c r="D51" s="6" t="n">
        <x:f>'Assumptions'!$D$100</x:f>
        <x:v>25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 t="str">
        <x:v>New deferred tax liability</x:v>
      </x:c>
      <x:c r="D52" s="6" t="n">
        <x:f>-(D50+D51)*'Assumptions'!$D$69</x:f>
        <x:v>-246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 t="str">
        <x:v>Net identifiable assets</x:v>
      </x:c>
      <x:c r="D53" s="2" t="n">
        <x:f>SUM(D48:D52)</x:f>
        <x:v>3053.4768994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2" t="str">
        <x:v>Pre-existing distribution-contract settlements are not included in goodwill; assumed nil net settlement at group level. Diligence must assess asset/liability eliminations.</x:v>
      </x:c>
    </x:row>
    <x:row r="54" ht="21" customHeight="1">
      <x:c r="A54" s="1"/>
      <x:c r="B54" s="1"/>
      <x:c r="C54" s="29" t="str">
        <x:v>Illustrative goodwill</x:v>
      </x:c>
      <x:c r="D54" s="31" t="n">
        <x:f>D47-D53</x:f>
        <x:v>8428.320948287499</x:v>
      </x:c>
      <x:c r="E54" s="31"/>
      <x:c r="F54" s="31"/>
      <x:c r="G54" s="31"/>
      <x:c r="H54" s="31"/>
      <x:c r="I54" s="31"/>
      <x:c r="J54" s="31"/>
      <x:c r="K54" s="31"/>
      <x:c r="L54" s="31"/>
      <x:c r="M54" s="31"/>
      <x:c r="N54" s="1"/>
      <x:c r="O54" s="1"/>
    </x:row>
    <x:row r="55" ht="21" customHeight="1">
      <x:c r="A55" s="1"/>
      <x:c r="B55" s="1"/>
      <x:c r="C55" s="1" t="str">
        <x:v>Incremental annual amortisation</x:v>
      </x:c>
      <x:c r="D55" s="6" t="n">
        <x:f>D50/'Assumptions'!$D$99</x:f>
        <x:v>66.66666666666667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 t="str">
        <x:v>Annual debt fee amortisation</x:v>
      </x:c>
      <x:c r="D56" s="6" t="n">
        <x:f>D34/'Assumptions'!$D$97</x:f>
        <x:v>19.115029226429904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 t="str">
        <x:v>Old target financing fee write-off</x:v>
      </x:c>
      <x:c r="D57" s="6" t="n">
        <x:f>'Financing'!I26</x:f>
        <x:v>18.5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 t="str">
        <x:v>PepsiCo preferred book value, latest</x:v>
      </x:c>
      <x:c r="D58" s="11" t="n">
        <x:v>1453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2" t="str">
        <x:v>S09 13 Jun 2026 fair value; not a 31 Aug quote. No speculative remeasurement gain included in accretion.</x:v>
      </x:c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Incremental benefits and implementation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Standalone revenue</x:v>
      </x:c>
      <x:c r="D7" s="2"/>
      <x:c r="E7" s="2"/>
      <x:c r="F7" s="2"/>
      <x:c r="G7" s="2"/>
      <x:c r="H7" s="2"/>
      <x:c r="I7" s="2"/>
      <x:c r="J7" s="6" t="n">
        <x:f>'Operations'!J10</x:f>
        <x:v>3621.569</x:v>
      </x:c>
      <x:c r="K7" s="6" t="n">
        <x:f>'Operations'!K10</x:f>
        <x:v>3983.3637020000006</x:v>
      </x:c>
      <x:c r="L7" s="6" t="n">
        <x:f>'Operations'!L10</x:f>
        <x:v>4292.56076868</x:v>
      </x:c>
      <x:c r="M7" s="6" t="n">
        <x:f>'Operations'!M10</x:f>
        <x:v>4565.735473644001</x:v>
      </x:c>
      <x:c r="N7" s="1"/>
      <x:c r="O7" s="1"/>
    </x:row>
    <x:row r="8" ht="21" customHeight="1">
      <x:c r="A8" s="1"/>
      <x:c r="B8" s="1"/>
      <x:c r="C8" s="1" t="str">
        <x:v>Standalone controllable cash SG&amp;A</x:v>
      </x:c>
      <x:c r="D8" s="2"/>
      <x:c r="E8" s="2"/>
      <x:c r="F8" s="2"/>
      <x:c r="G8" s="2"/>
      <x:c r="H8" s="2"/>
      <x:c r="I8" s="2"/>
      <x:c r="J8" s="6" t="n">
        <x:f>'Operations'!J15</x:f>
        <x:v>941.60794</x:v>
      </x:c>
      <x:c r="K8" s="6" t="n">
        <x:f>'Operations'!K15</x:f>
        <x:v>1015.7577440100001</x:v>
      </x:c>
      <x:c r="L8" s="6" t="n">
        <x:f>'Operations'!L15</x:f>
        <x:v>1073.14019217</x:v>
      </x:c>
      <x:c r="M8" s="6" t="n">
        <x:f>'Operations'!M15</x:f>
        <x:v>1132.3023974637122</x:v>
      </x:c>
      <x:c r="N8" s="1"/>
      <x:c r="O8" s="12" t="str">
        <x:v>Savings apply to forecast cash SG&amp;A only. Excludes baseline Pepsi distribution economics and prior acquisition benefits.</x:v>
      </x:c>
    </x:row>
    <x:row r="9" ht="21" customHeight="1">
      <x:c r="A9" s="1"/>
      <x:c r="B9" s="1"/>
      <x:c r="C9" s="1" t="str">
        <x:v>Effective revenue synergy rate</x:v>
      </x:c>
      <x:c r="D9" s="2"/>
      <x:c r="E9" s="2"/>
      <x:c r="F9" s="2"/>
      <x:c r="G9" s="2"/>
      <x:c r="H9" s="2"/>
      <x:c r="I9" s="2"/>
      <x:c r="J9" s="33" t="n">
        <x:f>IF(1&lt;='Assumptions'!J62,0,'Assumptions'!J38*MAX(0,1-'Assumptions'!J62)/1)</x:f>
        <x:v>0.005</x:v>
      </x:c>
      <x:c r="K9" s="33" t="n">
        <x:f>IF(2&lt;='Assumptions'!K62,0,'Assumptions'!K38*MAX(0,2-'Assumptions'!K62)/2)</x:f>
        <x:v>0.0125</x:v>
      </x:c>
      <x:c r="L9" s="33" t="n">
        <x:f>IF(3&lt;='Assumptions'!L62,0,'Assumptions'!L38*MAX(0,3-'Assumptions'!L62)/3)</x:f>
        <x:v>0.02</x:v>
      </x:c>
      <x:c r="M9" s="33" t="n">
        <x:f>IF(4&lt;='Assumptions'!M62,0,'Assumptions'!M38*MAX(0,4-'Assumptions'!M62)/4)</x:f>
        <x:v>0.02</x:v>
      </x:c>
      <x:c r="N9" s="1"/>
      <x:c r="O9" s="12" t="str">
        <x:v>Delay reduces annual ramp by max(0,year-delay)/year. Costs remain scheduled even if benefits slip.</x:v>
      </x:c>
    </x:row>
    <x:row r="10" ht="21" customHeight="1">
      <x:c r="A10" s="1"/>
      <x:c r="B10" s="1"/>
      <x:c r="C10" s="1" t="str">
        <x:v>Incremental revenue</x:v>
      </x:c>
      <x:c r="D10" s="2"/>
      <x:c r="E10" s="2"/>
      <x:c r="F10" s="2"/>
      <x:c r="G10" s="2"/>
      <x:c r="H10" s="2"/>
      <x:c r="I10" s="2"/>
      <x:c r="J10" s="2" t="n">
        <x:f>J7*J9</x:f>
        <x:v>18.107845</x:v>
      </x:c>
      <x:c r="K10" s="2" t="n">
        <x:f>K7*K9</x:f>
        <x:v>49.79204627500001</x:v>
      </x:c>
      <x:c r="L10" s="2" t="n">
        <x:f>L7*L9</x:f>
        <x:v>85.85121537360001</x:v>
      </x:c>
      <x:c r="M10" s="2" t="n">
        <x:f>M7*M9</x:f>
        <x:v>91.31470947288003</x:v>
      </x:c>
      <x:c r="N10" s="1"/>
      <x:c r="O10" s="1"/>
    </x:row>
    <x:row r="11" ht="21" customHeight="1">
      <x:c r="A11" s="1"/>
      <x:c r="B11" s="1"/>
      <x:c r="C11" s="1" t="str">
        <x:v>Contribution margin</x:v>
      </x:c>
      <x:c r="D11" s="2"/>
      <x:c r="E11" s="2"/>
      <x:c r="F11" s="2"/>
      <x:c r="G11" s="2"/>
      <x:c r="H11" s="2"/>
      <x:c r="I11" s="2"/>
      <x:c r="J11" s="33" t="n">
        <x:f>'Assumptions'!$D$102</x:f>
        <x:v>0.3</x:v>
      </x:c>
      <x:c r="K11" s="33" t="n">
        <x:f>'Assumptions'!$D$102</x:f>
        <x:v>0.3</x:v>
      </x:c>
      <x:c r="L11" s="33" t="n">
        <x:f>'Assumptions'!$D$102</x:f>
        <x:v>0.3</x:v>
      </x:c>
      <x:c r="M11" s="33" t="n">
        <x:f>'Assumptions'!$D$102</x:f>
        <x:v>0.3</x:v>
      </x:c>
      <x:c r="N11" s="1"/>
      <x:c r="O11" s="1"/>
    </x:row>
    <x:row r="12" ht="21" customHeight="1">
      <x:c r="A12" s="1"/>
      <x:c r="B12" s="1"/>
      <x:c r="C12" s="1" t="str">
        <x:v>Revenue synergy operating benefit</x:v>
      </x:c>
      <x:c r="D12" s="2"/>
      <x:c r="E12" s="2"/>
      <x:c r="F12" s="2"/>
      <x:c r="G12" s="2"/>
      <x:c r="H12" s="2"/>
      <x:c r="I12" s="2"/>
      <x:c r="J12" s="2" t="n">
        <x:f>J10*J11</x:f>
        <x:v>5.4323535000000005</x:v>
      </x:c>
      <x:c r="K12" s="2" t="n">
        <x:f>K10*K11</x:f>
        <x:v>14.937613882500003</x:v>
      </x:c>
      <x:c r="L12" s="2" t="n">
        <x:f>L10*L11</x:f>
        <x:v>25.755364612080005</x:v>
      </x:c>
      <x:c r="M12" s="2" t="n">
        <x:f>M10*M11</x:f>
        <x:v>27.394412841864007</x:v>
      </x:c>
      <x:c r="N12" s="1"/>
      <x:c r="O12" s="1"/>
    </x:row>
    <x:row r="13" ht="21" customHeight="1">
      <x:c r="A13" s="1"/>
      <x:c r="B13" s="1"/>
      <x:c r="C13" s="1" t="str">
        <x:v>Effective cost saving rate</x:v>
      </x:c>
      <x:c r="D13" s="2"/>
      <x:c r="E13" s="2"/>
      <x:c r="F13" s="2"/>
      <x:c r="G13" s="2"/>
      <x:c r="H13" s="2"/>
      <x:c r="I13" s="2"/>
      <x:c r="J13" s="33" t="n">
        <x:f>IF(1&lt;='Assumptions'!J62,0,'Assumptions'!J44*MAX(0,1-'Assumptions'!J62)/1)</x:f>
        <x:v>0.01</x:v>
      </x:c>
      <x:c r="K13" s="33" t="n">
        <x:f>IF(2&lt;='Assumptions'!K62,0,'Assumptions'!K44*MAX(0,2-'Assumptions'!K62)/2)</x:f>
        <x:v>0.025</x:v>
      </x:c>
      <x:c r="L13" s="33" t="n">
        <x:f>IF(3&lt;='Assumptions'!L62,0,'Assumptions'!L44*MAX(0,3-'Assumptions'!L62)/3)</x:f>
        <x:v>0.04</x:v>
      </x:c>
      <x:c r="M13" s="33" t="n">
        <x:f>IF(4&lt;='Assumptions'!M62,0,'Assumptions'!M44*MAX(0,4-'Assumptions'!M62)/4)</x:f>
        <x:v>0.04</x:v>
      </x:c>
      <x:c r="N13" s="1"/>
      <x:c r="O13" s="1"/>
    </x:row>
    <x:row r="14" ht="21" customHeight="1">
      <x:c r="A14" s="1"/>
      <x:c r="B14" s="1"/>
      <x:c r="C14" s="1" t="str">
        <x:v>Cost synergy operating benefit</x:v>
      </x:c>
      <x:c r="D14" s="2"/>
      <x:c r="E14" s="2"/>
      <x:c r="F14" s="2"/>
      <x:c r="G14" s="2"/>
      <x:c r="H14" s="2"/>
      <x:c r="I14" s="2"/>
      <x:c r="J14" s="2" t="n">
        <x:f>J8*J13</x:f>
        <x:v>9.4160794</x:v>
      </x:c>
      <x:c r="K14" s="2" t="n">
        <x:f>K8*K13</x:f>
        <x:v>25.393943600250005</x:v>
      </x:c>
      <x:c r="L14" s="2" t="n">
        <x:f>L8*L13</x:f>
        <x:v>42.92560768680001</x:v>
      </x:c>
      <x:c r="M14" s="2" t="n">
        <x:f>M8*M13</x:f>
        <x:v>45.29209589854849</x:v>
      </x:c>
      <x:c r="N14" s="1"/>
      <x:c r="O14" s="1"/>
    </x:row>
    <x:row r="15" ht="21" customHeight="1">
      <x:c r="A15" s="1"/>
      <x:c r="B15" s="1"/>
      <x:c r="C15" s="1" t="str">
        <x:v>Revenue dis-synergy</x:v>
      </x:c>
      <x:c r="D15" s="2"/>
      <x:c r="E15" s="2"/>
      <x:c r="F15" s="2"/>
      <x:c r="G15" s="2"/>
      <x:c r="H15" s="2"/>
      <x:c r="I15" s="2"/>
      <x:c r="J15" s="6" t="n">
        <x:f>J7*'Assumptions'!J56</x:f>
        <x:v>18.107845</x:v>
      </x:c>
      <x:c r="K15" s="6" t="n">
        <x:f>K7*'Assumptions'!K56</x:f>
        <x:v>9.958409255000001</x:v>
      </x:c>
      <x:c r="L15" s="6" t="n">
        <x:f>L7*'Assumptions'!L56</x:f>
        <x:v>0</x:v>
      </x:c>
      <x:c r="M15" s="6" t="n">
        <x:f>M7*'Assumptions'!M56</x:f>
        <x:v>0</x:v>
      </x:c>
      <x:c r="N15" s="1"/>
      <x:c r="O15" s="1"/>
    </x:row>
    <x:row r="16" ht="21" customHeight="1">
      <x:c r="A16" s="1"/>
      <x:c r="B16" s="1"/>
      <x:c r="C16" s="1" t="str">
        <x:v>Dis-synergy contribution loss</x:v>
      </x:c>
      <x:c r="D16" s="2"/>
      <x:c r="E16" s="2"/>
      <x:c r="F16" s="2"/>
      <x:c r="G16" s="2"/>
      <x:c r="H16" s="2"/>
      <x:c r="I16" s="2"/>
      <x:c r="J16" s="2" t="n">
        <x:f>-J15*J11</x:f>
        <x:v>-5.4323535000000005</x:v>
      </x:c>
      <x:c r="K16" s="2" t="n">
        <x:f>-K15*K11</x:f>
        <x:v>-2.9875227765</x:v>
      </x:c>
      <x:c r="L16" s="2" t="n">
        <x:f>-L15*L11</x:f>
        <x:v>0</x:v>
      </x:c>
      <x:c r="M16" s="2" t="n">
        <x:f>-M15*M11</x:f>
        <x:v>0</x:v>
      </x:c>
      <x:c r="N16" s="1"/>
      <x:c r="O16" s="1"/>
    </x:row>
    <x:row r="17" ht="21" customHeight="1">
      <x:c r="A17" s="1"/>
      <x:c r="B17" s="1"/>
      <x:c r="C17" s="1" t="str">
        <x:v>Implementation expense / cash cost</x:v>
      </x:c>
      <x:c r="D17" s="2"/>
      <x:c r="E17" s="2"/>
      <x:c r="F17" s="2"/>
      <x:c r="G17" s="2"/>
      <x:c r="H17" s="2"/>
      <x:c r="I17" s="2"/>
      <x:c r="J17" s="6" t="n">
        <x:f>-'Assumptions'!J50</x:f>
        <x:v>-45</x:v>
      </x:c>
      <x:c r="K17" s="6" t="n">
        <x:f>-'Assumptions'!K50</x:f>
        <x:v>-30</x:v>
      </x:c>
      <x:c r="L17" s="6" t="n">
        <x:f>-'Assumptions'!L50</x:f>
        <x:v>-10</x:v>
      </x:c>
      <x:c r="M17" s="6" t="n">
        <x:f>-'Assumptions'!M50</x:f>
        <x:v>0</x:v>
      </x:c>
      <x:c r="N17" s="1"/>
      <x:c r="O17" s="1"/>
    </x:row>
    <x:row r="18" ht="21" customHeight="1">
      <x:c r="A18" s="1"/>
      <x:c r="B18" s="1"/>
      <x:c r="C18" s="1" t="str">
        <x:v>Net incremental operating profit</x:v>
      </x:c>
      <x:c r="D18" s="2"/>
      <x:c r="E18" s="2"/>
      <x:c r="F18" s="2"/>
      <x:c r="G18" s="2"/>
      <x:c r="H18" s="2"/>
      <x:c r="I18" s="2"/>
      <x:c r="J18" s="2" t="n">
        <x:f>J12+J14+J16+J17</x:f>
        <x:v>-35.5839206</x:v>
      </x:c>
      <x:c r="K18" s="2" t="n">
        <x:f>K12+K14+K16+K17</x:f>
        <x:v>7.344034706250007</x:v>
      </x:c>
      <x:c r="L18" s="2" t="n">
        <x:f>L12+L14+L16+L17</x:f>
        <x:v>58.68097229888001</x:v>
      </x:c>
      <x:c r="M18" s="2" t="n">
        <x:f>M12+M14+M16+M17</x:f>
        <x:v>72.68650874041249</x:v>
      </x:c>
      <x:c r="N18" s="1"/>
      <x:c r="O18" s="1"/>
    </x:row>
    <x:row r="19" ht="21" customHeight="1">
      <x:c r="A19" s="1"/>
      <x:c r="B19" s="1"/>
      <x:c r="C19" s="1" t="str">
        <x:v>After-tax earnings benefit</x:v>
      </x:c>
      <x:c r="D19" s="2"/>
      <x:c r="E19" s="2"/>
      <x:c r="F19" s="2"/>
      <x:c r="G19" s="2"/>
      <x:c r="H19" s="2"/>
      <x:c r="I19" s="2"/>
      <x:c r="J19" s="6" t="n">
        <x:f>J18*(1-'Assumptions'!$D$69)</x:f>
        <x:v>-27.043779655999998</x:v>
      </x:c>
      <x:c r="K19" s="6" t="n">
        <x:f>K18*(1-'Assumptions'!$D$69)</x:f>
        <x:v>5.581466376750005</x:v>
      </x:c>
      <x:c r="L19" s="6" t="n">
        <x:f>L18*(1-'Assumptions'!$D$69)</x:f>
        <x:v>44.597538947148806</x:v>
      </x:c>
      <x:c r="M19" s="6" t="n">
        <x:f>M18*(1-'Assumptions'!$D$69)</x:f>
        <x:v>55.241746642713494</x:v>
      </x:c>
      <x:c r="N19" s="1"/>
      <x:c r="O19" s="1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 t="str">
        <x:v>Capital expenditure on revenue synergy</x:v>
      </x:c>
      <x:c r="D21" s="2"/>
      <x:c r="E21" s="2"/>
      <x:c r="F21" s="2"/>
      <x:c r="G21" s="2"/>
      <x:c r="H21" s="2"/>
      <x:c r="I21" s="2"/>
      <x:c r="J21" s="6" t="n">
        <x:f>-J10*'Assumptions'!$D$103</x:f>
        <x:v>-0.18107845</x:v>
      </x:c>
      <x:c r="K21" s="6" t="n">
        <x:f>-K10*'Assumptions'!$D$103</x:f>
        <x:v>-0.4979204627500001</x:v>
      </x:c>
      <x:c r="L21" s="6" t="n">
        <x:f>-L10*'Assumptions'!$D$103</x:f>
        <x:v>-0.8585121537360001</x:v>
      </x:c>
      <x:c r="M21" s="6" t="n">
        <x:f>-M10*'Assumptions'!$D$103</x:f>
        <x:v>-0.9131470947288003</x:v>
      </x:c>
      <x:c r="N21" s="1"/>
      <x:c r="O21" s="1"/>
    </x:row>
    <x:row r="22" ht="21" customHeight="1">
      <x:c r="A22" s="1"/>
      <x:c r="B22" s="1"/>
      <x:c r="C22" s="1" t="str">
        <x:v>Incremental synergy working capital</x:v>
      </x:c>
      <x:c r="D22" s="2"/>
      <x:c r="E22" s="2"/>
      <x:c r="F22" s="2"/>
      <x:c r="G22" s="2"/>
      <x:c r="H22" s="2"/>
      <x:c r="I22" s="2"/>
      <x:c r="J22" s="6" t="n">
        <x:f>J10*'Assumptions'!$D$104</x:f>
        <x:v>1.8107845000000002</x:v>
      </x:c>
      <x:c r="K22" s="6" t="n">
        <x:f>K10*'Assumptions'!$D$104</x:f>
        <x:v>4.9792046275000015</x:v>
      </x:c>
      <x:c r="L22" s="6" t="n">
        <x:f>L10*'Assumptions'!$D$104</x:f>
        <x:v>8.585121537360001</x:v>
      </x:c>
      <x:c r="M22" s="6" t="n">
        <x:f>M10*'Assumptions'!$D$104</x:f>
        <x:v>9.131470947288003</x:v>
      </x:c>
      <x:c r="N22" s="1"/>
      <x:c r="O22" s="1"/>
    </x:row>
    <x:row r="23" ht="21" customHeight="1">
      <x:c r="A23" s="1"/>
      <x:c r="B23" s="1"/>
      <x:c r="C23" s="1" t="str">
        <x:v>Change in synergy working capital</x:v>
      </x:c>
      <x:c r="D23" s="2"/>
      <x:c r="E23" s="2"/>
      <x:c r="F23" s="2"/>
      <x:c r="G23" s="2"/>
      <x:c r="H23" s="2"/>
      <x:c r="I23" s="2"/>
      <x:c r="J23" s="2" t="n">
        <x:f>-J22</x:f>
        <x:v>-1.8107845000000002</x:v>
      </x:c>
      <x:c r="K23" s="2" t="n">
        <x:f>-(K22-J22)</x:f>
        <x:v>-3.168420127500001</x:v>
      </x:c>
      <x:c r="L23" s="2" t="n">
        <x:f>-(L22-K22)</x:f>
        <x:v>-3.6059169098599995</x:v>
      </x:c>
      <x:c r="M23" s="2" t="n">
        <x:f>-(M22-L22)</x:f>
        <x:v>-0.546349409928002</x:v>
      </x:c>
      <x:c r="N23" s="1"/>
      <x:c r="O23" s="1"/>
    </x:row>
    <x:row r="24" ht="21" customHeight="1">
      <x:c r="A24" s="1"/>
      <x:c r="B24" s="1"/>
      <x:c r="C24" s="1" t="str">
        <x:v>Incremental after-tax cash flow</x:v>
      </x:c>
      <x:c r="D24" s="2"/>
      <x:c r="E24" s="2"/>
      <x:c r="F24" s="2"/>
      <x:c r="G24" s="2"/>
      <x:c r="H24" s="2"/>
      <x:c r="I24" s="2"/>
      <x:c r="J24" s="2" t="n">
        <x:f>J19+J21+J23</x:f>
        <x:v>-29.035642606</x:v>
      </x:c>
      <x:c r="K24" s="2" t="n">
        <x:f>K19+K21+K23</x:f>
        <x:v>1.9151257865000044</x:v>
      </x:c>
      <x:c r="L24" s="2" t="n">
        <x:f>L19+L21+L23</x:f>
        <x:v>40.133109883552805</x:v>
      </x:c>
      <x:c r="M24" s="2" t="n">
        <x:f>M19+M21+M23</x:f>
        <x:v>53.782250138056696</x:v>
      </x:c>
      <x:c r="N24" s="1"/>
      <x:c r="O24" s="12" t="str">
        <x:v>No incremental depreciation tax shield assumed on small synergy capex. Conservative cash-flow simplification.</x:v>
      </x:c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 t="str">
        <x:v>PV at 1 January 2027</x:v>
      </x:c>
      <x:c r="D26" s="2"/>
      <x:c r="E26" s="2"/>
      <x:c r="F26" s="2"/>
      <x:c r="G26" s="2"/>
      <x:c r="H26" s="2"/>
      <x:c r="I26" s="2"/>
      <x:c r="J26" s="6" t="n">
        <x:f>J24/(1+'Valuation'!$D$27)^1</x:f>
        <x:v>-26.29256553617627</x:v>
      </x:c>
      <x:c r="K26" s="6" t="n">
        <x:f>K24/(1+'Valuation'!$D$27)^2</x:f>
        <x:v>1.5703640695645984</x:v>
      </x:c>
      <x:c r="L26" s="6" t="n">
        <x:f>L24/(1+'Valuation'!$D$27)^3</x:f>
        <x:v>29.799390622346444</x:v>
      </x:c>
      <x:c r="M26" s="6" t="n">
        <x:f>M24/(1+'Valuation'!$D$27)^4</x:f>
        <x:v>36.16138536310768</x:v>
      </x:c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 t="str">
        <x:v>PV explicit incremental cash flows</x:v>
      </x:c>
      <x:c r="D29" s="2" t="n">
        <x:f>SUM(J26:M26)</x:f>
        <x:v>41.23857451884245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 t="str">
        <x:v>Terminal incremental cash flow</x:v>
      </x:c>
      <x:c r="D30" s="6" t="n">
        <x:f>((M12+M14+M16)*(1-'Assumptions'!$D$69)+M21-M22*'Assumptions'!$D$88)*(1+'Assumptions'!$D$88)</x:f>
        <x:v>55.45282059366005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 t="str">
        <x:v>PV terminal synergy value</x:v>
      </x:c>
      <x:c r="D31" s="6" t="n">
        <x:f>D30/('Valuation'!D27-'Assumptions'!$D$88)/(1+'Valuation'!D27)^4</x:f>
        <x:v>469.99988702515685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 t="str">
        <x:v>Total net synergy value at closing</x:v>
      </x:c>
      <x:c r="D32" s="2" t="n">
        <x:f>D29+D31</x:f>
        <x:v>511.2384615439993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EPS, leverage and value creation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PepsiCo standalone net income</x:v>
      </x:c>
      <x:c r="D7" s="2"/>
      <x:c r="E7" s="2"/>
      <x:c r="F7" s="2"/>
      <x:c r="G7" s="2"/>
      <x:c r="H7" s="2"/>
      <x:c r="I7" s="2"/>
      <x:c r="J7" s="6" t="n">
        <x:f>'Assumptions'!$D$107*(1+'Assumptions'!$D$105)^1</x:f>
        <x:v>10973.550000000001</x:v>
      </x:c>
      <x:c r="K7" s="6" t="n">
        <x:f>'Assumptions'!$D$107*(1+'Assumptions'!$D$105)^2</x:f>
        <x:v>11522.2275</x:v>
      </x:c>
      <x:c r="L7" s="6" t="n">
        <x:f>'Assumptions'!$D$107*(1+'Assumptions'!$D$105)^3</x:f>
        <x:v>12098.338875000001</x:v>
      </x:c>
      <x:c r="M7" s="6" t="n">
        <x:f>'Assumptions'!$D$107*(1+'Assumptions'!$D$105)^4</x:f>
        <x:v>12703.255818750002</x:v>
      </x:c>
      <x:c r="N7" s="1"/>
      <x:c r="O7" s="1"/>
    </x:row>
    <x:row r="8" ht="21" customHeight="1">
      <x:c r="A8" s="1"/>
      <x:c r="B8" s="1"/>
      <x:c r="C8" s="1" t="str">
        <x:v>PepsiCo standalone diluted shares</x:v>
      </x:c>
      <x:c r="D8" s="2"/>
      <x:c r="E8" s="2"/>
      <x:c r="F8" s="2"/>
      <x:c r="G8" s="2"/>
      <x:c r="H8" s="2"/>
      <x:c r="I8" s="2"/>
      <x:c r="J8" s="6" t="n">
        <x:f>'Assumptions'!$D$108</x:f>
        <x:v>1370</x:v>
      </x:c>
      <x:c r="K8" s="6" t="n">
        <x:f>'Assumptions'!$D$108</x:f>
        <x:v>1370</x:v>
      </x:c>
      <x:c r="L8" s="6" t="n">
        <x:f>'Assumptions'!$D$108</x:f>
        <x:v>1370</x:v>
      </x:c>
      <x:c r="M8" s="6" t="n">
        <x:f>'Assumptions'!$D$108</x:f>
        <x:v>1370</x:v>
      </x:c>
      <x:c r="N8" s="1"/>
      <x:c r="O8" s="1"/>
    </x:row>
    <x:row r="9" ht="21" customHeight="1">
      <x:c r="A9" s="1"/>
      <x:c r="B9" s="1"/>
      <x:c r="C9" s="1" t="str">
        <x:v>PepsiCo standalone EPS</x:v>
      </x:c>
      <x:c r="D9" s="2"/>
      <x:c r="E9" s="2"/>
      <x:c r="F9" s="2"/>
      <x:c r="G9" s="2"/>
      <x:c r="H9" s="2"/>
      <x:c r="I9" s="2"/>
      <x:c r="J9" s="34" t="n">
        <x:f>J7/J8</x:f>
        <x:v>8.009890510948907</x:v>
      </x:c>
      <x:c r="K9" s="34" t="n">
        <x:f>K7/K8</x:f>
        <x:v>8.41038503649635</x:v>
      </x:c>
      <x:c r="L9" s="34" t="n">
        <x:f>L7/L8</x:f>
        <x:v>8.830904288321168</x:v>
      </x:c>
      <x:c r="M9" s="34" t="n">
        <x:f>M7/M8</x:f>
        <x:v>9.272449502737228</x:v>
      </x:c>
      <x:c r="N9" s="1"/>
      <x:c r="O9" s="1"/>
    </x:row>
    <x:row r="10" ht="21" customHeight="1">
      <x:c r="A10" s="1"/>
      <x:c r="B10" s="1"/>
      <x:c r="C10" s="1" t="str">
        <x:v>Target net income</x:v>
      </x:c>
      <x:c r="D10" s="2"/>
      <x:c r="E10" s="2"/>
      <x:c r="F10" s="2"/>
      <x:c r="G10" s="2"/>
      <x:c r="H10" s="2"/>
      <x:c r="I10" s="2"/>
      <x:c r="J10" s="6" t="n">
        <x:f>'Statements'!J17</x:f>
        <x:v>587.129286634104</x:v>
      </x:c>
      <x:c r="K10" s="6" t="n">
        <x:f>'Statements'!K17</x:f>
        <x:v>720.2012238094732</x:v>
      </x:c>
      <x:c r="L10" s="6" t="n">
        <x:f>'Statements'!L17</x:f>
        <x:v>826.436599905704</x:v>
      </x:c>
      <x:c r="M10" s="6" t="n">
        <x:f>'Statements'!M17</x:f>
        <x:v>918.2475729664429</x:v>
      </x:c>
      <x:c r="N10" s="1"/>
      <x:c r="O10" s="1"/>
    </x:row>
    <x:row r="11" ht="21" customHeight="1">
      <x:c r="A11" s="1"/>
      <x:c r="B11" s="1"/>
      <x:c r="C11" s="1" t="str">
        <x:v>Add back refinanced target interest after tax</x:v>
      </x:c>
      <x:c r="D11" s="2"/>
      <x:c r="E11" s="2"/>
      <x:c r="F11" s="2"/>
      <x:c r="G11" s="2"/>
      <x:c r="H11" s="2"/>
      <x:c r="I11" s="2"/>
      <x:c r="J11" s="6" t="n">
        <x:f>'Financing'!J29*(1-'Assumptions'!$D$69)+'Financing'!J24-'Financing'!J26</x:f>
        <x:v>35.76364367507495</x:v>
      </x:c>
      <x:c r="K11" s="6" t="n">
        <x:f>'Financing'!K29*(1-'Assumptions'!$D$69)+'Financing'!K24-'Financing'!K26</x:f>
        <x:v>0</x:v>
      </x:c>
      <x:c r="L11" s="6" t="n">
        <x:f>'Financing'!L29*(1-'Assumptions'!$D$69)+'Financing'!L24-'Financing'!L26</x:f>
        <x:v>0</x:v>
      </x:c>
      <x:c r="M11" s="6" t="n">
        <x:f>'Financing'!M29*(1-'Assumptions'!$D$69)+'Financing'!M24-'Financing'!M26</x:f>
        <x:v>0</x:v>
      </x:c>
      <x:c r="N11" s="1"/>
      <x:c r="O11" s="1"/>
    </x:row>
    <x:row r="12" ht="21" customHeight="1">
      <x:c r="A12" s="1"/>
      <x:c r="B12" s="1"/>
      <x:c r="C12" s="1" t="str">
        <x:v>Remove existing preferred income after tax</x:v>
      </x:c>
      <x:c r="D12" s="2"/>
      <x:c r="E12" s="2"/>
      <x:c r="F12" s="2"/>
      <x:c r="G12" s="2"/>
      <x:c r="H12" s="2"/>
      <x:c r="I12" s="2"/>
      <x:c r="J12" s="6" t="n">
        <x:f>-'Assumptions'!$D$113*(1-'Assumptions'!$D$69)</x:f>
        <x:v>-43.13</x:v>
      </x:c>
      <x:c r="K12" s="6" t="n">
        <x:f>-'Assumptions'!$D$113*(1-'Assumptions'!$D$69)</x:f>
        <x:v>-43.13</x:v>
      </x:c>
      <x:c r="L12" s="6" t="n">
        <x:f>-'Assumptions'!$D$113*(1-'Assumptions'!$D$69)</x:f>
        <x:v>-43.13</x:v>
      </x:c>
      <x:c r="M12" s="6" t="n">
        <x:f>-'Assumptions'!$D$113*(1-'Assumptions'!$D$69)</x:f>
        <x:v>-43.13</x:v>
      </x:c>
      <x:c r="N12" s="1"/>
      <x:c r="O12" s="1"/>
    </x:row>
    <x:row r="13" ht="21" customHeight="1">
      <x:c r="A13" s="1"/>
      <x:c r="B13" s="1"/>
      <x:c r="C13" s="1" t="str">
        <x:v>Synergies net of dis-synergies and implementation</x:v>
      </x:c>
      <x:c r="D13" s="2"/>
      <x:c r="E13" s="2"/>
      <x:c r="F13" s="2"/>
      <x:c r="G13" s="2"/>
      <x:c r="H13" s="2"/>
      <x:c r="I13" s="2"/>
      <x:c r="J13" s="6" t="n">
        <x:f>'Synergies'!J19</x:f>
        <x:v>-27.043779655999998</x:v>
      </x:c>
      <x:c r="K13" s="6" t="n">
        <x:f>'Synergies'!K19</x:f>
        <x:v>5.581466376750005</x:v>
      </x:c>
      <x:c r="L13" s="6" t="n">
        <x:f>'Synergies'!L19</x:f>
        <x:v>44.597538947148806</x:v>
      </x:c>
      <x:c r="M13" s="6" t="n">
        <x:f>'Synergies'!M19</x:f>
        <x:v>55.241746642713494</x:v>
      </x:c>
      <x:c r="N13" s="1"/>
      <x:c r="O13" s="1"/>
    </x:row>
    <x:row r="14" ht="21" customHeight="1">
      <x:c r="A14" s="1"/>
      <x:c r="B14" s="1"/>
      <x:c r="C14" s="1" t="str">
        <x:v>Incremental PPA amortisation after tax</x:v>
      </x:c>
      <x:c r="D14" s="2"/>
      <x:c r="E14" s="2"/>
      <x:c r="F14" s="2"/>
      <x:c r="G14" s="2"/>
      <x:c r="H14" s="2"/>
      <x:c r="I14" s="2"/>
      <x:c r="J14" s="6" t="n">
        <x:f>-'Deal'!$D$55*(1-'Assumptions'!$D$69)</x:f>
        <x:v>-50.66666666666667</x:v>
      </x:c>
      <x:c r="K14" s="6" t="n">
        <x:f>-'Deal'!$D$55*(1-'Assumptions'!$D$69)</x:f>
        <x:v>-50.66666666666667</x:v>
      </x:c>
      <x:c r="L14" s="6" t="n">
        <x:f>-'Deal'!$D$55*(1-'Assumptions'!$D$69)</x:f>
        <x:v>-50.66666666666667</x:v>
      </x:c>
      <x:c r="M14" s="6" t="n">
        <x:f>-'Deal'!$D$55*(1-'Assumptions'!$D$69)</x:f>
        <x:v>-50.66666666666667</x:v>
      </x:c>
      <x:c r="N14" s="1"/>
      <x:c r="O14" s="1"/>
    </x:row>
    <x:row r="15" ht="21" customHeight="1">
      <x:c r="A15" s="1"/>
      <x:c r="B15" s="1"/>
      <x:c r="C15" s="1" t="str">
        <x:v>New debt cash interest after tax</x:v>
      </x:c>
      <x:c r="D15" s="2"/>
      <x:c r="E15" s="2"/>
      <x:c r="F15" s="2"/>
      <x:c r="G15" s="2"/>
      <x:c r="H15" s="2"/>
      <x:c r="I15" s="2"/>
      <x:c r="J15" s="6" t="n">
        <x:f>-'Deal'!$D$39*'Assumptions'!$D$94*(1-'Assumptions'!$D$69)</x:f>
        <x:v>-266.33607388825675</x:v>
      </x:c>
      <x:c r="K15" s="6" t="n">
        <x:f>-'Deal'!$D$39*'Assumptions'!$D$94*(1-'Assumptions'!$D$69)</x:f>
        <x:v>-266.33607388825675</x:v>
      </x:c>
      <x:c r="L15" s="6" t="n">
        <x:f>-'Deal'!$D$39*'Assumptions'!$D$94*(1-'Assumptions'!$D$69)</x:f>
        <x:v>-266.33607388825675</x:v>
      </x:c>
      <x:c r="M15" s="6" t="n">
        <x:f>-'Deal'!$D$39*'Assumptions'!$D$94*(1-'Assumptions'!$D$69)</x:f>
        <x:v>-266.33607388825675</x:v>
      </x:c>
      <x:c r="N15" s="1"/>
      <x:c r="O15" s="1"/>
    </x:row>
    <x:row r="16" ht="21" customHeight="1">
      <x:c r="A16" s="1"/>
      <x:c r="B16" s="1"/>
      <x:c r="C16" s="1" t="str">
        <x:v>Foregone cash interest after tax</x:v>
      </x:c>
      <x:c r="D16" s="2"/>
      <x:c r="E16" s="2"/>
      <x:c r="F16" s="2"/>
      <x:c r="G16" s="2"/>
      <x:c r="H16" s="2"/>
      <x:c r="I16" s="2"/>
      <x:c r="J16" s="6" t="n">
        <x:f>-'Deal'!$D$40*'Assumptions'!$D$82*(1-'Assumptions'!$D$69)</x:f>
        <x:v>-56.49553082478173</x:v>
      </x:c>
      <x:c r="K16" s="6" t="n">
        <x:f>-'Deal'!$D$40*'Assumptions'!$D$82*(1-'Assumptions'!$D$69)</x:f>
        <x:v>-56.49553082478173</x:v>
      </x:c>
      <x:c r="L16" s="6" t="n">
        <x:f>-'Deal'!$D$40*'Assumptions'!$D$82*(1-'Assumptions'!$D$69)</x:f>
        <x:v>-56.49553082478173</x:v>
      </x:c>
      <x:c r="M16" s="6" t="n">
        <x:f>-'Deal'!$D$40*'Assumptions'!$D$82*(1-'Assumptions'!$D$69)</x:f>
        <x:v>-56.49553082478173</x:v>
      </x:c>
      <x:c r="N16" s="1"/>
      <x:c r="O16" s="1"/>
    </x:row>
    <x:row r="17" ht="21" customHeight="1">
      <x:c r="A17" s="1"/>
      <x:c r="B17" s="1"/>
      <x:c r="C17" s="1" t="str">
        <x:v>New financing fee amortisation after tax</x:v>
      </x:c>
      <x:c r="D17" s="2"/>
      <x:c r="E17" s="2"/>
      <x:c r="F17" s="2"/>
      <x:c r="G17" s="2"/>
      <x:c r="H17" s="2"/>
      <x:c r="I17" s="2"/>
      <x:c r="J17" s="6" t="n">
        <x:f>-'Deal'!$D$56*(1-'Assumptions'!$D$69)</x:f>
        <x:v>-14.527422212086726</x:v>
      </x:c>
      <x:c r="K17" s="6" t="n">
        <x:f>-'Deal'!$D$56*(1-'Assumptions'!$D$69)</x:f>
        <x:v>-14.527422212086726</x:v>
      </x:c>
      <x:c r="L17" s="6" t="n">
        <x:f>-'Deal'!$D$56*(1-'Assumptions'!$D$69)</x:f>
        <x:v>-14.527422212086726</x:v>
      </x:c>
      <x:c r="M17" s="6" t="n">
        <x:f>-'Deal'!$D$56*(1-'Assumptions'!$D$69)</x:f>
        <x:v>-14.527422212086726</x:v>
      </x:c>
      <x:c r="N17" s="1"/>
      <x:c r="O17" s="1"/>
    </x:row>
    <x:row r="18" ht="21" customHeight="1">
      <x:c r="A18" s="1"/>
      <x:c r="B18" s="1"/>
      <x:c r="C18" s="1" t="str">
        <x:v>First-year fees, inventory and old debt cost write-off</x:v>
      </x:c>
      <x:c r="D18" s="2"/>
      <x:c r="E18" s="2"/>
      <x:c r="F18" s="2"/>
      <x:c r="G18" s="2"/>
      <x:c r="H18" s="2"/>
      <x:c r="I18" s="2"/>
      <x:c r="J18" s="6" t="n">
        <x:f>-('Deal'!$D$33+'Deal'!$D$51+'Deal'!$D$57)*(1-'Assumptions'!$D$69)</x:f>
        <x:v>-109.302613642425</x:v>
      </x:c>
      <x:c r="K18" s="11" t="n">
        <x:v>0</x:v>
      </x:c>
      <x:c r="L18" s="11" t="n">
        <x:v>0</x:v>
      </x:c>
      <x:c r="M18" s="11" t="n">
        <x:v>0</x:v>
      </x:c>
      <x:c r="N18" s="1"/>
      <x:c r="O18" s="1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 t="str">
        <x:v>Incremental net income</x:v>
      </x:c>
      <x:c r="D20" s="2"/>
      <x:c r="E20" s="2"/>
      <x:c r="F20" s="2"/>
      <x:c r="G20" s="2"/>
      <x:c r="H20" s="2"/>
      <x:c r="I20" s="2"/>
      <x:c r="J20" s="2" t="n">
        <x:f>SUM(J10:J18)</x:f>
        <x:v>55.390843418962106</x:v>
      </x:c>
      <x:c r="K20" s="2" t="n">
        <x:f>SUM(K10:K18)</x:f>
        <x:v>294.6269965944313</x:v>
      </x:c>
      <x:c r="L20" s="2" t="n">
        <x:f>SUM(L10:L18)</x:f>
        <x:v>439.878445261061</x:v>
      </x:c>
      <x:c r="M20" s="2" t="n">
        <x:f>SUM(M10:M18)</x:f>
        <x:v>542.3336260173644</x:v>
      </x:c>
      <x:c r="N20" s="1"/>
      <x:c r="O20" s="1"/>
    </x:row>
    <x:row r="21" ht="21" customHeight="1">
      <x:c r="A21" s="1"/>
      <x:c r="B21" s="1"/>
      <x:c r="C21" s="1" t="str">
        <x:v>Pro forma net income</x:v>
      </x:c>
      <x:c r="D21" s="2"/>
      <x:c r="E21" s="2"/>
      <x:c r="F21" s="2"/>
      <x:c r="G21" s="2"/>
      <x:c r="H21" s="2"/>
      <x:c r="I21" s="2"/>
      <x:c r="J21" s="2" t="n">
        <x:f>J7+J20</x:f>
        <x:v>11028.940843418963</x:v>
      </x:c>
      <x:c r="K21" s="2" t="n">
        <x:f>K7+K20</x:f>
        <x:v>11816.854496594433</x:v>
      </x:c>
      <x:c r="L21" s="2" t="n">
        <x:f>L7+L20</x:f>
        <x:v>12538.217320261063</x:v>
      </x:c>
      <x:c r="M21" s="2" t="n">
        <x:f>M7+M20</x:f>
        <x:v>13245.589444767365</x:v>
      </x:c>
      <x:c r="N21" s="1"/>
      <x:c r="O21" s="1"/>
    </x:row>
    <x:row r="22" ht="21" customHeight="1">
      <x:c r="A22" s="1"/>
      <x:c r="B22" s="1"/>
      <x:c r="C22" s="1" t="str">
        <x:v>New PepsiCo shares</x:v>
      </x:c>
      <x:c r="D22" s="2"/>
      <x:c r="E22" s="2"/>
      <x:c r="F22" s="2"/>
      <x:c r="G22" s="2"/>
      <x:c r="H22" s="2"/>
      <x:c r="I22" s="2"/>
      <x:c r="J22" s="6" t="n">
        <x:f>'Deal'!$D$44</x:f>
        <x:v>15.133904348510686</x:v>
      </x:c>
      <x:c r="K22" s="6" t="n">
        <x:f>'Deal'!$D$44</x:f>
        <x:v>15.133904348510686</x:v>
      </x:c>
      <x:c r="L22" s="6" t="n">
        <x:f>'Deal'!$D$44</x:f>
        <x:v>15.133904348510686</x:v>
      </x:c>
      <x:c r="M22" s="6" t="n">
        <x:f>'Deal'!$D$44</x:f>
        <x:v>15.133904348510686</x:v>
      </x:c>
      <x:c r="N22" s="1"/>
      <x:c r="O22" s="1"/>
    </x:row>
    <x:row r="23" ht="21" customHeight="1">
      <x:c r="A23" s="1"/>
      <x:c r="B23" s="1"/>
      <x:c r="C23" s="1" t="str">
        <x:v>Pro forma diluted shares</x:v>
      </x:c>
      <x:c r="D23" s="2"/>
      <x:c r="E23" s="2"/>
      <x:c r="F23" s="2"/>
      <x:c r="G23" s="2"/>
      <x:c r="H23" s="2"/>
      <x:c r="I23" s="2"/>
      <x:c r="J23" s="2" t="n">
        <x:f>J8+J22</x:f>
        <x:v>1385.1339043485107</x:v>
      </x:c>
      <x:c r="K23" s="2" t="n">
        <x:f>K8+K22</x:f>
        <x:v>1385.1339043485107</x:v>
      </x:c>
      <x:c r="L23" s="2" t="n">
        <x:f>L8+L22</x:f>
        <x:v>1385.1339043485107</x:v>
      </x:c>
      <x:c r="M23" s="2" t="n">
        <x:f>M8+M22</x:f>
        <x:v>1385.1339043485107</x:v>
      </x:c>
      <x:c r="N23" s="1"/>
      <x:c r="O23" s="1"/>
    </x:row>
    <x:row r="24" ht="21" customHeight="1">
      <x:c r="A24" s="1"/>
      <x:c r="B24" s="1"/>
      <x:c r="C24" s="1" t="str">
        <x:v>Pro forma EPS</x:v>
      </x:c>
      <x:c r="D24" s="2"/>
      <x:c r="E24" s="2"/>
      <x:c r="F24" s="2"/>
      <x:c r="G24" s="2"/>
      <x:c r="H24" s="2"/>
      <x:c r="I24" s="2"/>
      <x:c r="J24" s="34" t="n">
        <x:f>J21/J23</x:f>
        <x:v>7.962364366935598</x:v>
      </x:c>
      <x:c r="K24" s="34" t="n">
        <x:f>K21/K23</x:f>
        <x:v>8.53120009516511</x:v>
      </x:c>
      <x:c r="L24" s="34" t="n">
        <x:f>L21/L23</x:f>
        <x:v>9.05198932817859</x:v>
      </x:c>
      <x:c r="M24" s="34" t="n">
        <x:f>M21/M23</x:f>
        <x:v>9.562677949896367</x:v>
      </x:c>
      <x:c r="N24" s="1"/>
      <x:c r="O24" s="1"/>
    </x:row>
    <x:row r="25" ht="21" customHeight="1">
      <x:c r="A25" s="1"/>
      <x:c r="B25" s="1"/>
      <x:c r="C25" s="1" t="str">
        <x:v>EPS accretion / (dilution)</x:v>
      </x:c>
      <x:c r="D25" s="2"/>
      <x:c r="E25" s="2"/>
      <x:c r="F25" s="2"/>
      <x:c r="G25" s="2"/>
      <x:c r="H25" s="2"/>
      <x:c r="I25" s="2"/>
      <x:c r="J25" s="18" t="n">
        <x:f>J24/J9-1</x:f>
        <x:v>-0.005933432416878048</x:v>
      </x:c>
      <x:c r="K25" s="18" t="n">
        <x:f>K24/K9-1</x:f>
        <x:v>0.014364985448881207</x:v>
      </x:c>
      <x:c r="L25" s="18" t="n">
        <x:f>L24/L9-1</x:f>
        <x:v>0.02503537946275869</x:v>
      </x:c>
      <x:c r="M25" s="18" t="n">
        <x:f>M24/M9-1</x:f>
        <x:v>0.031300083874650664</x:v>
      </x:c>
      <x:c r="N25" s="1"/>
      <x:c r="O25" s="1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 t="str">
        <x:v>PepsiCo standalone EBITDA proxy</x:v>
      </x:c>
      <x:c r="D27" s="2"/>
      <x:c r="E27" s="2"/>
      <x:c r="F27" s="2"/>
      <x:c r="G27" s="2"/>
      <x:c r="H27" s="2"/>
      <x:c r="I27" s="2"/>
      <x:c r="J27" s="6" t="n">
        <x:f>'Assumptions'!$D$109*(1+'Assumptions'!$D$105)^1</x:f>
        <x:v>18859.05</x:v>
      </x:c>
      <x:c r="K27" s="6" t="n">
        <x:f>'Assumptions'!$D$109*(1+'Assumptions'!$D$105)^2</x:f>
        <x:v>19802.002500000002</x:v>
      </x:c>
      <x:c r="L27" s="6" t="n">
        <x:f>'Assumptions'!$D$109*(1+'Assumptions'!$D$105)^3</x:f>
        <x:v>20792.102625000003</x:v>
      </x:c>
      <x:c r="M27" s="6" t="n">
        <x:f>'Assumptions'!$D$109*(1+'Assumptions'!$D$105)^4</x:f>
        <x:v>21831.707756250005</x:v>
      </x:c>
      <x:c r="N27" s="1"/>
      <x:c r="O27" s="1"/>
    </x:row>
    <x:row r="28" ht="21" customHeight="1">
      <x:c r="A28" s="1"/>
      <x:c r="B28" s="1"/>
      <x:c r="C28" s="1" t="str">
        <x:v>Target EBITDA, SBC retained</x:v>
      </x:c>
      <x:c r="D28" s="2"/>
      <x:c r="E28" s="2"/>
      <x:c r="F28" s="2"/>
      <x:c r="G28" s="2"/>
      <x:c r="H28" s="2"/>
      <x:c r="I28" s="2"/>
      <x:c r="J28" s="6" t="n">
        <x:f>'Operations'!J22</x:f>
        <x:v>834.46742724</x:v>
      </x:c>
      <x:c r="K28" s="6" t="n">
        <x:f>'Operations'!K22</x:f>
        <x:v>960.4587618554001</x:v>
      </x:c>
      <x:c r="L28" s="6" t="n">
        <x:f>'Operations'!L22</x:f>
        <x:v>1080.826623892719</x:v>
      </x:c>
      <x:c r="M28" s="6" t="n">
        <x:f>'Operations'!M22</x:f>
        <x:v>1161.67006680853</x:v>
      </x:c>
      <x:c r="N28" s="1"/>
      <x:c r="O28" s="1"/>
    </x:row>
    <x:row r="29" ht="21" customHeight="1">
      <x:c r="A29" s="1"/>
      <x:c r="B29" s="1"/>
      <x:c r="C29" s="1" t="str">
        <x:v>Net synergy operating benefit</x:v>
      </x:c>
      <x:c r="D29" s="2"/>
      <x:c r="E29" s="2"/>
      <x:c r="F29" s="2"/>
      <x:c r="G29" s="2"/>
      <x:c r="H29" s="2"/>
      <x:c r="I29" s="2"/>
      <x:c r="J29" s="6" t="n">
        <x:f>'Synergies'!J18</x:f>
        <x:v>-35.5839206</x:v>
      </x:c>
      <x:c r="K29" s="6" t="n">
        <x:f>'Synergies'!K18</x:f>
        <x:v>7.344034706250007</x:v>
      </x:c>
      <x:c r="L29" s="6" t="n">
        <x:f>'Synergies'!L18</x:f>
        <x:v>58.68097229888001</x:v>
      </x:c>
      <x:c r="M29" s="6" t="n">
        <x:f>'Synergies'!M18</x:f>
        <x:v>72.68650874041249</x:v>
      </x:c>
      <x:c r="N29" s="1"/>
      <x:c r="O29" s="1"/>
    </x:row>
    <x:row r="30" ht="21" customHeight="1">
      <x:c r="A30" s="1"/>
      <x:c r="B30" s="1"/>
      <x:c r="C30" s="1" t="str">
        <x:v>Combined EBITDA proxy</x:v>
      </x:c>
      <x:c r="D30" s="2"/>
      <x:c r="E30" s="2"/>
      <x:c r="F30" s="2"/>
      <x:c r="G30" s="2"/>
      <x:c r="H30" s="2"/>
      <x:c r="I30" s="2"/>
      <x:c r="J30" s="2" t="n">
        <x:f>SUM(J27:J29)</x:f>
        <x:v>19657.93350664</x:v>
      </x:c>
      <x:c r="K30" s="2" t="n">
        <x:f>SUM(K27:K29)</x:f>
        <x:v>20769.80529656165</x:v>
      </x:c>
      <x:c r="L30" s="2" t="n">
        <x:f>SUM(L27:L29)</x:f>
        <x:v>21931.610221191604</x:v>
      </x:c>
      <x:c r="M30" s="2" t="n">
        <x:f>SUM(M27:M29)</x:f>
        <x:v>23066.064331798945</x:v>
      </x:c>
      <x:c r="N30" s="1"/>
      <x:c r="O30" s="1"/>
    </x:row>
    <x:row r="31" ht="21" customHeight="1">
      <x:c r="A31" s="1"/>
      <x:c r="B31" s="1"/>
      <x:c r="C31" s="1" t="str">
        <x:v>Pro forma gross debt</x:v>
      </x:c>
      <x:c r="D31" s="2"/>
      <x:c r="E31" s="2"/>
      <x:c r="F31" s="2"/>
      <x:c r="G31" s="2"/>
      <x:c r="H31" s="2"/>
      <x:c r="I31" s="2"/>
      <x:c r="J31" s="6" t="n">
        <x:f>'Assumptions'!$D$110+'Deal'!$D$39</x:f>
        <x:v>59585.676408809966</x:v>
      </x:c>
      <x:c r="K31" s="6" t="n">
        <x:f>'Assumptions'!$D$110+'Deal'!$D$39</x:f>
        <x:v>59585.676408809966</x:v>
      </x:c>
      <x:c r="L31" s="6" t="n">
        <x:f>'Assumptions'!$D$110+'Deal'!$D$39</x:f>
        <x:v>59585.676408809966</x:v>
      </x:c>
      <x:c r="M31" s="6" t="n">
        <x:f>'Assumptions'!$D$110+'Deal'!$D$39</x:f>
        <x:v>59585.676408809966</x:v>
      </x:c>
      <x:c r="N31" s="1"/>
      <x:c r="O31" s="12" t="str">
        <x:v>Acquisition debt held constant, no discretionary repayment assumed. Leverage is analytical, not a covenant calculation.</x:v>
      </x:c>
    </x:row>
    <x:row r="32" ht="21" customHeight="1">
      <x:c r="A32" s="1"/>
      <x:c r="B32" s="1"/>
      <x:c r="C32" s="1" t="str">
        <x:v>Pro forma unrestricted cash at close</x:v>
      </x:c>
      <x:c r="D32" s="2"/>
      <x:c r="E32" s="2"/>
      <x:c r="F32" s="2"/>
      <x:c r="G32" s="2"/>
      <x:c r="H32" s="2"/>
      <x:c r="I32" s="2"/>
      <x:c r="J32" s="6" t="n">
        <x:f>'Assumptions'!$D$111-'Deal'!$D$40+'Deal'!$D$27</x:f>
        <x:v>8626.714404676586</x:v>
      </x:c>
      <x:c r="K32" s="6" t="n">
        <x:f>'Assumptions'!$D$111-'Deal'!$D$40+'Deal'!$D$27</x:f>
        <x:v>8626.714404676586</x:v>
      </x:c>
      <x:c r="L32" s="6" t="n">
        <x:f>'Assumptions'!$D$111-'Deal'!$D$40+'Deal'!$D$27</x:f>
        <x:v>8626.714404676586</x:v>
      </x:c>
      <x:c r="M32" s="6" t="n">
        <x:f>'Assumptions'!$D$111-'Deal'!$D$40+'Deal'!$D$27</x:f>
        <x:v>8626.714404676586</x:v>
      </x:c>
      <x:c r="N32" s="1"/>
      <x:c r="O32" s="12" t="str">
        <x:v>Closing cash held fixed for comparability. Forecast combined cash flow/distributions not modelled.</x:v>
      </x:c>
    </x:row>
    <x:row r="33" ht="21" customHeight="1">
      <x:c r="A33" s="1"/>
      <x:c r="B33" s="1"/>
      <x:c r="C33" s="1" t="str">
        <x:v>Gross debt / EBITDA</x:v>
      </x:c>
      <x:c r="D33" s="2"/>
      <x:c r="E33" s="2"/>
      <x:c r="F33" s="2"/>
      <x:c r="G33" s="2"/>
      <x:c r="H33" s="2"/>
      <x:c r="I33" s="2"/>
      <x:c r="J33" s="2" t="n">
        <x:f>J31/J30</x:f>
        <x:v>3.0311261551822466</x:v>
      </x:c>
      <x:c r="K33" s="2" t="n">
        <x:f>K31/K30</x:f>
        <x:v>2.8688606155915246</x:v>
      </x:c>
      <x:c r="L33" s="2" t="n">
        <x:f>L31/L30</x:f>
        <x:v>2.7168856188787633</x:v>
      </x:c>
      <x:c r="M33" s="2" t="n">
        <x:f>M31/M30</x:f>
        <x:v>2.5832615201139872</x:v>
      </x:c>
      <x:c r="N33" s="1"/>
      <x:c r="O33" s="1"/>
    </x:row>
    <x:row r="34" ht="21" customHeight="1">
      <x:c r="A34" s="1"/>
      <x:c r="B34" s="1"/>
      <x:c r="C34" s="1" t="str">
        <x:v>Net debt / EBITDA, close cash held fixed</x:v>
      </x:c>
      <x:c r="D34" s="2"/>
      <x:c r="E34" s="2"/>
      <x:c r="F34" s="2"/>
      <x:c r="G34" s="2"/>
      <x:c r="H34" s="2"/>
      <x:c r="I34" s="2"/>
      <x:c r="J34" s="2" t="n">
        <x:f>(J31-J32)/J30</x:f>
        <x:v>2.59228478857763</x:v>
      </x:c>
      <x:c r="K34" s="2" t="n">
        <x:f>(K31-K32)/K30</x:f>
        <x:v>2.4535117819602004</x:v>
      </x:c>
      <x:c r="L34" s="2" t="n">
        <x:f>(L31-L32)/L30</x:f>
        <x:v>2.3235394706629364</x:v>
      </x:c>
      <x:c r="M34" s="2" t="n">
        <x:f>(M31-M32)/M30</x:f>
        <x:v>2.209261245052595</x:v>
      </x:c>
      <x:c r="N34" s="1"/>
      <x:c r="O34" s="1"/>
    </x:row>
    <x:row r="35" ht="21" customHeight="1">
      <x:c r="A35" s="1"/>
      <x:c r="B35" s="1"/>
      <x:c r="C35" s="1" t="str">
        <x:v>Annual gross interest</x:v>
      </x:c>
      <x:c r="D35" s="2"/>
      <x:c r="E35" s="2"/>
      <x:c r="F35" s="2"/>
      <x:c r="G35" s="2"/>
      <x:c r="H35" s="2"/>
      <x:c r="I35" s="2"/>
      <x:c r="J35" s="6" t="n">
        <x:f>'Assumptions'!$D$112+'Deal'!$D$39*'Assumptions'!$D$94</x:f>
        <x:v>2190.4422024845485</x:v>
      </x:c>
      <x:c r="K35" s="6" t="n">
        <x:f>'Assumptions'!$D$112+'Deal'!$D$39*'Assumptions'!$D$94</x:f>
        <x:v>2190.4422024845485</x:v>
      </x:c>
      <x:c r="L35" s="6" t="n">
        <x:f>'Assumptions'!$D$112+'Deal'!$D$39*'Assumptions'!$D$94</x:f>
        <x:v>2190.4422024845485</x:v>
      </x:c>
      <x:c r="M35" s="6" t="n">
        <x:f>'Assumptions'!$D$112+'Deal'!$D$39*'Assumptions'!$D$94</x:f>
        <x:v>2190.4422024845485</x:v>
      </x:c>
      <x:c r="N35" s="1"/>
      <x:c r="O35" s="1"/>
    </x:row>
    <x:row r="36" ht="21" customHeight="1">
      <x:c r="A36" s="1"/>
      <x:c r="B36" s="1"/>
      <x:c r="C36" s="1" t="str">
        <x:v>EBITDA / gross interest</x:v>
      </x:c>
      <x:c r="D36" s="2"/>
      <x:c r="E36" s="2"/>
      <x:c r="F36" s="2"/>
      <x:c r="G36" s="2"/>
      <x:c r="H36" s="2"/>
      <x:c r="I36" s="2"/>
      <x:c r="J36" s="2" t="n">
        <x:f>J30/J35</x:f>
        <x:v>8.974413241464504</x:v>
      </x:c>
      <x:c r="K36" s="2" t="n">
        <x:f>K30/K35</x:f>
        <x:v>9.482014760765258</x:v>
      </x:c>
      <x:c r="L36" s="2" t="n">
        <x:f>L30/L35</x:f>
        <x:v>10.012412195270562</x:v>
      </x:c>
      <x:c r="M36" s="2" t="n">
        <x:f>M30/M35</x:f>
        <x:v>10.530323194848897</x:v>
      </x:c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 t="str">
        <x:v>FY2028 EPS threshold</x:v>
      </x:c>
      <x:c r="D39" s="33" t="n">
        <x:f>'Assumptions'!$D$101</x:f>
        <x:v>0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31" customHeight="1">
      <x:c r="A40" s="1"/>
      <x:c r="B40" s="1"/>
      <x:c r="C40" s="39" t="str">
        <x:v>FY2028 incremental NI before funding costs</x:v>
      </x:c>
      <x:c r="D40" s="2" t="n">
        <x:f>SUM(K10:K14)-D39*K7</x:f>
        <x:v>631.9860235195565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31" customHeight="1">
      <x:c r="A41" s="1"/>
      <x:c r="B41" s="1"/>
      <x:c r="C41" s="39" t="str">
        <x:v>Per-dollar funding EPS cost</x:v>
      </x:c>
      <x:c r="D41" s="40" t="n">
        <x:f>('Assumptions'!$D$93*'Assumptions'!$D$94+'Assumptions'!$D$92*'Assumptions'!$D$82+'Assumptions'!$D$93*'Assumptions'!$D$96/'Assumptions'!$D$97)*(1-'Assumptions'!$D$69)+(1+D39)*K9*(1-'Assumptions'!$D$93-'Assumptions'!$D$92)/'Assumptions'!$D$106</x:f>
        <x:v>0.043753727570894047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31" customHeight="1">
      <x:c r="A42" s="1"/>
      <x:c r="B42" s="1"/>
      <x:c r="C42" s="39" t="str">
        <x:v>Maximum total funding for EPS threshold</x:v>
      </x:c>
      <x:c r="D42" s="2" t="n">
        <x:f>D40/D41</x:f>
        <x:v>14444.164157112129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 t="str">
        <x:v>Maximum offer price: EPS threshold</x:v>
      </x:c>
      <x:c r="D43" s="32" t="n">
        <x:f>(D42*(1-'Assumptions'!$D$93*'Assumptions'!$D$96)-'Deal'!D26)/('Deal'!D15*(1+'Assumptions'!$D$95))</x:f>
        <x:v>54.01856667036813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2" t="str">
        <x:v>Price solves FY2028 fully loaded EPS accretion &gt;= selected threshold. PPA uplift held fixed across price tests.</x:v>
      </x:c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 t="str">
        <x:v>Closing value of remaining common claims</x:v>
      </x:c>
      <x:c r="D46" s="6" t="n">
        <x:f>'Valuation'!D54*'Deal'!D15</x:f>
        <x:v>8035.0514641595555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 t="str">
        <x:v>Net synergy present value at close</x:v>
      </x:c>
      <x:c r="D47" s="6" t="n">
        <x:f>'Synergies'!D32</x:f>
        <x:v>511.2384615439993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 t="str">
        <x:v>Purchase + transaction + financing fees</x:v>
      </x:c>
      <x:c r="D48" s="6" t="n">
        <x:f>'Deal'!D16+'Deal'!D33+'Deal'!D34</x:f>
        <x:v>10227.817222296524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 t="str">
        <x:v>Acquisition NPV at 31 August 2026</x:v>
      </x:c>
      <x:c r="D49" s="6" t="n">
        <x:f>(D46+D47-D48)/(1+'Valuation'!D27)^(4/12)</x:f>
        <x:v>-1626.8134812249205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 t="str">
        <x:v>Maximum offer price: NPV zero</x:v>
      </x:c>
      <x:c r="D50" s="32" t="n">
        <x:f>((D46+D47)*(1-'Assumptions'!$D$93*'Assumptions'!$D$96)-'Assumptions'!$D$93*'Assumptions'!$D$96*'Deal'!D26)/('Deal'!D15*(1+'Assumptions'!$D$95))</x:f>
        <x:v>32.84699157864134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2" t="str">
        <x:v>Economic value excludes pre-owned securities. New stock valued at PEP market price. NPV includes fees and net implementation cash flows.</x:v>
      </x:c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 t="str">
        <x:v>Binding walk-away price</x:v>
      </x:c>
      <x:c r="D52" s="34" t="n">
        <x:f>MIN(D43,D50)</x:f>
        <x:v>32.84699157864134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 t="str">
        <x:v>Offer range lower bound, 90% of cap</x:v>
      </x:c>
      <x:c r="D53" s="34" t="n">
        <x:f>MAX(0,D52*0.9)</x:f>
        <x:v>29.562292420777204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 t="str">
        <x:v>Offer range upper bound, 95% of cap</x:v>
      </x:c>
      <x:c r="D54" s="34" t="n">
        <x:f>MAX(0,D52*0.95)</x:f>
        <x:v>31.204641999709267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 t="str">
        <x:v>Recommendation</x:v>
      </x:c>
      <x:c r="D55" s="6" t="str">
        <x:f>IF('Deal'!D9&gt;D52,"Do not transact at illustrative offer","Proceed only subject to diligence")</x:f>
        <x:v>Do not transact at illustrative offer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2" t="str">
        <x:v>EPS uses normalised target forecast and reported PepsiCo LTM growth proxy. No management or consensus earnings forecasts claimed.</x:v>
      </x:c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Valuation and acquisition sensitivities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4" customHeight="1">
      <x:c r="A5" s="1"/>
      <x:c r="B5" s="1"/>
      <x:c r="C5" s="16" t="str">
        <x:v>DCF common value: WACC versus terminal growth</x:v>
      </x:c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"/>
      <x:c r="O5" s="1"/>
    </x:row>
    <x:row r="6" ht="21" customHeight="1">
      <x:c r="A6" s="1"/>
      <x:c r="B6" s="1"/>
      <x:c r="C6" s="1"/>
      <x:c r="D6" s="2"/>
      <x:c r="E6" s="20" t="n">
        <x:v>0.015</x:v>
      </x:c>
      <x:c r="F6" s="20" t="n">
        <x:v>0.02</x:v>
      </x:c>
      <x:c r="G6" s="20" t="n">
        <x:v>0.025</x:v>
      </x:c>
      <x:c r="H6" s="20" t="n">
        <x:v>0.03</x:v>
      </x:c>
      <x:c r="I6" s="20" t="n">
        <x:v>0.035</x:v>
      </x:c>
      <x:c r="J6" s="2"/>
      <x:c r="K6" s="2"/>
      <x:c r="L6" s="2"/>
      <x:c r="M6" s="2"/>
      <x:c r="N6" s="1"/>
      <x:c r="O6" s="1"/>
    </x:row>
    <x:row r="7" ht="21" customHeight="1">
      <x:c r="A7" s="1"/>
      <x:c r="B7" s="1"/>
      <x:c r="C7" s="1"/>
      <x:c r="D7" s="20" t="n">
        <x:v>0.085</x:v>
      </x:c>
      <x:c r="E7" s="32" t="n">
        <x:f>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E$6)*(1+E$6)/($D7-E$6)/(1+$D7)^'Valuation'!M19)+'Valuation'!D35-'Valuation'!D36)&lt;'Valuation'!$D$38*'Assumptions'!$D$124+'Assumptions'!$D$122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E$6)*(1+E$6)/($D7-E$6)/(1+$D7)^'Valuation'!M19)+'Valuation'!D35-'Valuation'!D36)-'Assumptions'!$D$122-'Assumptions'!$D$123)/'Valuation'!$D$38,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E$6)*(1+E$6)/($D7-E$6)/(1+$D7)^'Valuation'!M19)+'Valuation'!D35-'Valuation'!D36)&lt;('Valuation'!$D$38+'Valuation'!$D$40)*'Assumptions'!$D$125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E$6)*(1+E$6)/($D7-E$6)/(1+$D7)^'Valuation'!M19)+'Valuation'!D35-'Valuation'!D36)-'Assumptions'!$D$123)/('Valuation'!$D$38+'Valuation'!$D$40),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E$6)*(1+E$6)/($D7-E$6)/(1+$D7)^'Valuation'!M19)+'Valuation'!D35-'Valuation'!D36)/('Valuation'!$D$38+'Valuation'!$D$40+'Valuation'!$D$41)))</x:f>
        <x:v>36.1966814004309</x:v>
      </x:c>
      <x:c r="F7" s="32" t="n">
        <x:f>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F$6)*(1+F$6)/($D7-F$6)/(1+$D7)^'Valuation'!M19)+'Valuation'!D35-'Valuation'!D36)&lt;'Valuation'!$D$38*'Assumptions'!$D$124+'Assumptions'!$D$122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F$6)*(1+F$6)/($D7-F$6)/(1+$D7)^'Valuation'!M19)+'Valuation'!D35-'Valuation'!D36)-'Assumptions'!$D$122-'Assumptions'!$D$123)/'Valuation'!$D$38,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F$6)*(1+F$6)/($D7-F$6)/(1+$D7)^'Valuation'!M19)+'Valuation'!D35-'Valuation'!D36)&lt;('Valuation'!$D$38+'Valuation'!$D$40)*'Assumptions'!$D$125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F$6)*(1+F$6)/($D7-F$6)/(1+$D7)^'Valuation'!M19)+'Valuation'!D35-'Valuation'!D36)-'Assumptions'!$D$123)/('Valuation'!$D$38+'Valuation'!$D$40),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F$6)*(1+F$6)/($D7-F$6)/(1+$D7)^'Valuation'!M19)+'Valuation'!D35-'Valuation'!D36)/('Valuation'!$D$38+'Valuation'!$D$40+'Valuation'!$D$41)))</x:f>
        <x:v>38.58014987231391</x:v>
      </x:c>
      <x:c r="G7" s="32" t="n">
        <x:f>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G$6)*(1+G$6)/($D7-G$6)/(1+$D7)^'Valuation'!M19)+'Valuation'!D35-'Valuation'!D36)&lt;'Valuation'!$D$38*'Assumptions'!$D$124+'Assumptions'!$D$122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G$6)*(1+G$6)/($D7-G$6)/(1+$D7)^'Valuation'!M19)+'Valuation'!D35-'Valuation'!D36)-'Assumptions'!$D$122-'Assumptions'!$D$123)/'Valuation'!$D$38,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G$6)*(1+G$6)/($D7-G$6)/(1+$D7)^'Valuation'!M19)+'Valuation'!D35-'Valuation'!D36)&lt;('Valuation'!$D$38+'Valuation'!$D$40)*'Assumptions'!$D$125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G$6)*(1+G$6)/($D7-G$6)/(1+$D7)^'Valuation'!M19)+'Valuation'!D35-'Valuation'!D36)-'Assumptions'!$D$123)/('Valuation'!$D$38+'Valuation'!$D$40),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G$6)*(1+G$6)/($D7-G$6)/(1+$D7)^'Valuation'!M19)+'Valuation'!D35-'Valuation'!D36)/('Valuation'!$D$38+'Valuation'!$D$40+'Valuation'!$D$41)))</x:f>
        <x:v>41.35991965496193</x:v>
      </x:c>
      <x:c r="H7" s="32" t="n">
        <x:f>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H$6)*(1+H$6)/($D7-H$6)/(1+$D7)^'Valuation'!M19)+'Valuation'!D35-'Valuation'!D36)&lt;'Valuation'!$D$38*'Assumptions'!$D$124+'Assumptions'!$D$122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H$6)*(1+H$6)/($D7-H$6)/(1+$D7)^'Valuation'!M19)+'Valuation'!D35-'Valuation'!D36)-'Assumptions'!$D$122-'Assumptions'!$D$123)/'Valuation'!$D$38,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H$6)*(1+H$6)/($D7-H$6)/(1+$D7)^'Valuation'!M19)+'Valuation'!D35-'Valuation'!D36)&lt;('Valuation'!$D$38+'Valuation'!$D$40)*'Assumptions'!$D$125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H$6)*(1+H$6)/($D7-H$6)/(1+$D7)^'Valuation'!M19)+'Valuation'!D35-'Valuation'!D36)-'Assumptions'!$D$123)/('Valuation'!$D$38+'Valuation'!$D$40),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H$6)*(1+H$6)/($D7-H$6)/(1+$D7)^'Valuation'!M19)+'Valuation'!D35-'Valuation'!D36)/('Valuation'!$D$38+'Valuation'!$D$40+'Valuation'!$D$41)))</x:f>
        <x:v>44.64407292403817</x:v>
      </x:c>
      <x:c r="I7" s="32" t="n">
        <x:f>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I$6)*(1+I$6)/($D7-I$6)/(1+$D7)^'Valuation'!M19)+'Valuation'!D35-'Valuation'!D36)&lt;'Valuation'!$D$38*'Assumptions'!$D$124+'Assumptions'!$D$122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I$6)*(1+I$6)/($D7-I$6)/(1+$D7)^'Valuation'!M19)+'Valuation'!D35-'Valuation'!D36)-'Assumptions'!$D$122-'Assumptions'!$D$123)/'Valuation'!$D$38,IF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I$6)*(1+I$6)/($D7-I$6)/(1+$D7)^'Valuation'!M19)+'Valuation'!D35-'Valuation'!D36)&lt;('Valuation'!$D$38+'Valuation'!$D$40)*'Assumptions'!$D$125+'Assumptions'!$D$123,(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I$6)*(1+I$6)/($D7-I$6)/(1+$D7)^'Valuation'!M19)+'Valuation'!D35-'Valuation'!D36)-'Assumptions'!$D$123)/('Valuation'!$D$38+'Valuation'!$D$40),(('Valuation'!H16*'Valuation'!H18/(1+$D7)^'Valuation'!H19+'Valuation'!J16/(1+$D7)^'Valuation'!J19+'Valuation'!K16/(1+$D7)^'Valuation'!K19+'Valuation'!L16/(1+$D7)^'Valuation'!L19+'Valuation'!M16/(1+$D7)^'Valuation'!M19)+(('Operations'!M20*(1-'Assumptions'!$D$69)+'Operations'!M21+'CapitalWC'!M21-'CapitalWC'!M25-'CapitalWC'!M10-'CapitalWC'!M42*I$6)*(1+I$6)/($D7-I$6)/(1+$D7)^'Valuation'!M19)+'Valuation'!D35-'Valuation'!D36)/('Valuation'!$D$38+'Valuation'!$D$40+'Valuation'!$D$41)))</x:f>
        <x:v>48.58392472547109</x:v>
      </x:c>
      <x:c r="J7" s="2"/>
      <x:c r="K7" s="2"/>
      <x:c r="L7" s="2"/>
      <x:c r="M7" s="2"/>
      <x:c r="N7" s="1"/>
      <x:c r="O7" s="1"/>
    </x:row>
    <x:row r="8" ht="21" customHeight="1">
      <x:c r="A8" s="1"/>
      <x:c r="B8" s="1"/>
      <x:c r="C8" s="1"/>
      <x:c r="D8" s="20" t="n">
        <x:v>0.095</x:v>
      </x:c>
      <x:c r="E8" s="32" t="n">
        <x:f>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E$6)*(1+E$6)/($D8-E$6)/(1+$D8)^'Valuation'!M19)+'Valuation'!D35-'Valuation'!D36)&lt;'Valuation'!$D$38*'Assumptions'!$D$124+'Assumptions'!$D$122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E$6)*(1+E$6)/($D8-E$6)/(1+$D8)^'Valuation'!M19)+'Valuation'!D35-'Valuation'!D36)-'Assumptions'!$D$122-'Assumptions'!$D$123)/'Valuation'!$D$38,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E$6)*(1+E$6)/($D8-E$6)/(1+$D8)^'Valuation'!M19)+'Valuation'!D35-'Valuation'!D36)&lt;('Valuation'!$D$38+'Valuation'!$D$40)*'Assumptions'!$D$125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E$6)*(1+E$6)/($D8-E$6)/(1+$D8)^'Valuation'!M19)+'Valuation'!D35-'Valuation'!D36)-'Assumptions'!$D$123)/('Valuation'!$D$38+'Valuation'!$D$40),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E$6)*(1+E$6)/($D8-E$6)/(1+$D8)^'Valuation'!M19)+'Valuation'!D35-'Valuation'!D36)/('Valuation'!$D$38+'Valuation'!$D$40+'Valuation'!$D$41)))</x:f>
        <x:v>31.208000951089364</x:v>
      </x:c>
      <x:c r="F8" s="32" t="n">
        <x:f>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F$6)*(1+F$6)/($D8-F$6)/(1+$D8)^'Valuation'!M19)+'Valuation'!D35-'Valuation'!D36)&lt;'Valuation'!$D$38*'Assumptions'!$D$124+'Assumptions'!$D$122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F$6)*(1+F$6)/($D8-F$6)/(1+$D8)^'Valuation'!M19)+'Valuation'!D35-'Valuation'!D36)-'Assumptions'!$D$122-'Assumptions'!$D$123)/'Valuation'!$D$38,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F$6)*(1+F$6)/($D8-F$6)/(1+$D8)^'Valuation'!M19)+'Valuation'!D35-'Valuation'!D36)&lt;('Valuation'!$D$38+'Valuation'!$D$40)*'Assumptions'!$D$125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F$6)*(1+F$6)/($D8-F$6)/(1+$D8)^'Valuation'!M19)+'Valuation'!D35-'Valuation'!D36)-'Assumptions'!$D$123)/('Valuation'!$D$38+'Valuation'!$D$40),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F$6)*(1+F$6)/($D8-F$6)/(1+$D8)^'Valuation'!M19)+'Valuation'!D35-'Valuation'!D36)/('Valuation'!$D$38+'Valuation'!$D$40+'Valuation'!$D$41)))</x:f>
        <x:v>32.95237534587294</x:v>
      </x:c>
      <x:c r="G8" s="32" t="n">
        <x:f>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G$6)*(1+G$6)/($D8-G$6)/(1+$D8)^'Valuation'!M19)+'Valuation'!D35-'Valuation'!D36)&lt;'Valuation'!$D$38*'Assumptions'!$D$124+'Assumptions'!$D$122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G$6)*(1+G$6)/($D8-G$6)/(1+$D8)^'Valuation'!M19)+'Valuation'!D35-'Valuation'!D36)-'Assumptions'!$D$122-'Assumptions'!$D$123)/'Valuation'!$D$38,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G$6)*(1+G$6)/($D8-G$6)/(1+$D8)^'Valuation'!M19)+'Valuation'!D35-'Valuation'!D36)&lt;('Valuation'!$D$38+'Valuation'!$D$40)*'Assumptions'!$D$125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G$6)*(1+G$6)/($D8-G$6)/(1+$D8)^'Valuation'!M19)+'Valuation'!D35-'Valuation'!D36)-'Assumptions'!$D$123)/('Valuation'!$D$38+'Valuation'!$D$40),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G$6)*(1+G$6)/($D8-G$6)/(1+$D8)^'Valuation'!M19)+'Valuation'!D35-'Valuation'!D36)/('Valuation'!$D$38+'Valuation'!$D$40+'Valuation'!$D$41)))</x:f>
        <x:v>34.945168942638574</x:v>
      </x:c>
      <x:c r="H8" s="32" t="n">
        <x:f>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H$6)*(1+H$6)/($D8-H$6)/(1+$D8)^'Valuation'!M19)+'Valuation'!D35-'Valuation'!D36)&lt;'Valuation'!$D$38*'Assumptions'!$D$124+'Assumptions'!$D$122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H$6)*(1+H$6)/($D8-H$6)/(1+$D8)^'Valuation'!M19)+'Valuation'!D35-'Valuation'!D36)-'Assumptions'!$D$122-'Assumptions'!$D$123)/'Valuation'!$D$38,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H$6)*(1+H$6)/($D8-H$6)/(1+$D8)^'Valuation'!M19)+'Valuation'!D35-'Valuation'!D36)&lt;('Valuation'!$D$38+'Valuation'!$D$40)*'Assumptions'!$D$125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H$6)*(1+H$6)/($D8-H$6)/(1+$D8)^'Valuation'!M19)+'Valuation'!D35-'Valuation'!D36)-'Assumptions'!$D$123)/('Valuation'!$D$38+'Valuation'!$D$40),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H$6)*(1+H$6)/($D8-H$6)/(1+$D8)^'Valuation'!M19)+'Valuation'!D35-'Valuation'!D36)/('Valuation'!$D$38+'Valuation'!$D$40+'Valuation'!$D$41)))</x:f>
        <x:v>37.24370924953601</x:v>
      </x:c>
      <x:c r="I8" s="32" t="n">
        <x:f>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I$6)*(1+I$6)/($D8-I$6)/(1+$D8)^'Valuation'!M19)+'Valuation'!D35-'Valuation'!D36)&lt;'Valuation'!$D$38*'Assumptions'!$D$124+'Assumptions'!$D$122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I$6)*(1+I$6)/($D8-I$6)/(1+$D8)^'Valuation'!M19)+'Valuation'!D35-'Valuation'!D36)-'Assumptions'!$D$122-'Assumptions'!$D$123)/'Valuation'!$D$38,IF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I$6)*(1+I$6)/($D8-I$6)/(1+$D8)^'Valuation'!M19)+'Valuation'!D35-'Valuation'!D36)&lt;('Valuation'!$D$38+'Valuation'!$D$40)*'Assumptions'!$D$125+'Assumptions'!$D$123,(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I$6)*(1+I$6)/($D8-I$6)/(1+$D8)^'Valuation'!M19)+'Valuation'!D35-'Valuation'!D36)-'Assumptions'!$D$123)/('Valuation'!$D$38+'Valuation'!$D$40),(('Valuation'!H16*'Valuation'!H18/(1+$D8)^'Valuation'!H19+'Valuation'!J16/(1+$D8)^'Valuation'!J19+'Valuation'!K16/(1+$D8)^'Valuation'!K19+'Valuation'!L16/(1+$D8)^'Valuation'!L19+'Valuation'!M16/(1+$D8)^'Valuation'!M19)+(('Operations'!M20*(1-'Assumptions'!$D$69)+'Operations'!M21+'CapitalWC'!M21-'CapitalWC'!M25-'CapitalWC'!M10-'CapitalWC'!M42*I$6)*(1+I$6)/($D8-I$6)/(1+$D8)^'Valuation'!M19)+'Valuation'!D35-'Valuation'!D36)/('Valuation'!$D$38+'Valuation'!$D$40+'Valuation'!$D$41)))</x:f>
        <x:v>39.92443294409818</x:v>
      </x:c>
      <x:c r="J8" s="2"/>
      <x:c r="K8" s="2"/>
      <x:c r="L8" s="2"/>
      <x:c r="M8" s="2"/>
      <x:c r="N8" s="1"/>
      <x:c r="O8" s="1"/>
    </x:row>
    <x:row r="9" ht="21" customHeight="1">
      <x:c r="A9" s="1"/>
      <x:c r="B9" s="1"/>
      <x:c r="C9" s="1"/>
      <x:c r="D9" s="20" t="n">
        <x:v>0.105</x:v>
      </x:c>
      <x:c r="E9" s="32" t="n">
        <x:f>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E$6)*(1+E$6)/($D9-E$6)/(1+$D9)^'Valuation'!M19)+'Valuation'!D35-'Valuation'!D36)&lt;'Valuation'!$D$38*'Assumptions'!$D$124+'Assumptions'!$D$122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E$6)*(1+E$6)/($D9-E$6)/(1+$D9)^'Valuation'!M19)+'Valuation'!D35-'Valuation'!D36)-'Assumptions'!$D$122-'Assumptions'!$D$123)/'Valuation'!$D$38,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E$6)*(1+E$6)/($D9-E$6)/(1+$D9)^'Valuation'!M19)+'Valuation'!D35-'Valuation'!D36)&lt;('Valuation'!$D$38+'Valuation'!$D$40)*'Assumptions'!$D$125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E$6)*(1+E$6)/($D9-E$6)/(1+$D9)^'Valuation'!M19)+'Valuation'!D35-'Valuation'!D36)-'Assumptions'!$D$123)/('Valuation'!$D$38+'Valuation'!$D$40),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E$6)*(1+E$6)/($D9-E$6)/(1+$D9)^'Valuation'!M19)+'Valuation'!D35-'Valuation'!D36)/('Valuation'!$D$38+'Valuation'!$D$40+'Valuation'!$D$41)))</x:f>
        <x:v>27.333541950640832</x:v>
      </x:c>
      <x:c r="F9" s="32" t="n">
        <x:f>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F$6)*(1+F$6)/($D9-F$6)/(1+$D9)^'Valuation'!M19)+'Valuation'!D35-'Valuation'!D36)&lt;'Valuation'!$D$38*'Assumptions'!$D$124+'Assumptions'!$D$122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F$6)*(1+F$6)/($D9-F$6)/(1+$D9)^'Valuation'!M19)+'Valuation'!D35-'Valuation'!D36)-'Assumptions'!$D$122-'Assumptions'!$D$123)/'Valuation'!$D$38,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F$6)*(1+F$6)/($D9-F$6)/(1+$D9)^'Valuation'!M19)+'Valuation'!D35-'Valuation'!D36)&lt;('Valuation'!$D$38+'Valuation'!$D$40)*'Assumptions'!$D$125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F$6)*(1+F$6)/($D9-F$6)/(1+$D9)^'Valuation'!M19)+'Valuation'!D35-'Valuation'!D36)-'Assumptions'!$D$123)/('Valuation'!$D$38+'Valuation'!$D$40),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F$6)*(1+F$6)/($D9-F$6)/(1+$D9)^'Valuation'!M19)+'Valuation'!D35-'Valuation'!D36)/('Valuation'!$D$38+'Valuation'!$D$40+'Valuation'!$D$41)))</x:f>
        <x:v>28.65437795567718</x:v>
      </x:c>
      <x:c r="G9" s="32" t="n">
        <x:f>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G$6)*(1+G$6)/($D9-G$6)/(1+$D9)^'Valuation'!M19)+'Valuation'!D35-'Valuation'!D36)&lt;'Valuation'!$D$38*'Assumptions'!$D$124+'Assumptions'!$D$122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G$6)*(1+G$6)/($D9-G$6)/(1+$D9)^'Valuation'!M19)+'Valuation'!D35-'Valuation'!D36)-'Assumptions'!$D$122-'Assumptions'!$D$123)/'Valuation'!$D$38,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G$6)*(1+G$6)/($D9-G$6)/(1+$D9)^'Valuation'!M19)+'Valuation'!D35-'Valuation'!D36)&lt;('Valuation'!$D$38+'Valuation'!$D$40)*'Assumptions'!$D$125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G$6)*(1+G$6)/($D9-G$6)/(1+$D9)^'Valuation'!M19)+'Valuation'!D35-'Valuation'!D36)-'Assumptions'!$D$123)/('Valuation'!$D$38+'Valuation'!$D$40),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G$6)*(1+G$6)/($D9-G$6)/(1+$D9)^'Valuation'!M19)+'Valuation'!D35-'Valuation'!D36)/('Valuation'!$D$38+'Valuation'!$D$40+'Valuation'!$D$41)))</x:f>
        <x:v>30.139664730914284</x:v>
      </x:c>
      <x:c r="H9" s="32" t="n">
        <x:f>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H$6)*(1+H$6)/($D9-H$6)/(1+$D9)^'Valuation'!M19)+'Valuation'!D35-'Valuation'!D36)&lt;'Valuation'!$D$38*'Assumptions'!$D$124+'Assumptions'!$D$122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H$6)*(1+H$6)/($D9-H$6)/(1+$D9)^'Valuation'!M19)+'Valuation'!D35-'Valuation'!D36)-'Assumptions'!$D$122-'Assumptions'!$D$123)/'Valuation'!$D$38,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H$6)*(1+H$6)/($D9-H$6)/(1+$D9)^'Valuation'!M19)+'Valuation'!D35-'Valuation'!D36)&lt;('Valuation'!$D$38+'Valuation'!$D$40)*'Assumptions'!$D$125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H$6)*(1+H$6)/($D9-H$6)/(1+$D9)^'Valuation'!M19)+'Valuation'!D35-'Valuation'!D36)-'Assumptions'!$D$123)/('Valuation'!$D$38+'Valuation'!$D$40),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H$6)*(1+H$6)/($D9-H$6)/(1+$D9)^'Valuation'!M19)+'Valuation'!D35-'Valuation'!D36)/('Valuation'!$D$38+'Valuation'!$D$40+'Valuation'!$D$41)))</x:f>
        <x:v>31.8222924303923</x:v>
      </x:c>
      <x:c r="I9" s="32" t="n">
        <x:f>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I$6)*(1+I$6)/($D9-I$6)/(1+$D9)^'Valuation'!M19)+'Valuation'!D35-'Valuation'!D36)&lt;'Valuation'!$D$38*'Assumptions'!$D$124+'Assumptions'!$D$122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I$6)*(1+I$6)/($D9-I$6)/(1+$D9)^'Valuation'!M19)+'Valuation'!D35-'Valuation'!D36)-'Assumptions'!$D$122-'Assumptions'!$D$123)/'Valuation'!$D$38,IF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I$6)*(1+I$6)/($D9-I$6)/(1+$D9)^'Valuation'!M19)+'Valuation'!D35-'Valuation'!D36)&lt;('Valuation'!$D$38+'Valuation'!$D$40)*'Assumptions'!$D$125+'Assumptions'!$D$123,(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I$6)*(1+I$6)/($D9-I$6)/(1+$D9)^'Valuation'!M19)+'Valuation'!D35-'Valuation'!D36)-'Assumptions'!$D$123)/('Valuation'!$D$38+'Valuation'!$D$40),(('Valuation'!H16*'Valuation'!H18/(1+$D9)^'Valuation'!H19+'Valuation'!J16/(1+$D9)^'Valuation'!J19+'Valuation'!K16/(1+$D9)^'Valuation'!K19+'Valuation'!L16/(1+$D9)^'Valuation'!L19+'Valuation'!M16/(1+$D9)^'Valuation'!M19)+(('Operations'!M20*(1-'Assumptions'!$D$69)+'Operations'!M21+'CapitalWC'!M21-'CapitalWC'!M25-'CapitalWC'!M10-'CapitalWC'!M42*I$6)*(1+I$6)/($D9-I$6)/(1+$D9)^'Valuation'!M19)+'Valuation'!D35-'Valuation'!D36)/('Valuation'!$D$38+'Valuation'!$D$40+'Valuation'!$D$41)))</x:f>
        <x:v>33.744548395019976</x:v>
      </x:c>
      <x:c r="J9" s="2"/>
      <x:c r="K9" s="2"/>
      <x:c r="L9" s="2"/>
      <x:c r="M9" s="2"/>
      <x:c r="N9" s="1"/>
      <x:c r="O9" s="1"/>
    </x:row>
    <x:row r="10" ht="21" customHeight="1">
      <x:c r="A10" s="1"/>
      <x:c r="B10" s="1"/>
      <x:c r="C10" s="1"/>
      <x:c r="D10" s="20" t="n">
        <x:v>0.115</x:v>
      </x:c>
      <x:c r="E10" s="32" t="n">
        <x:f>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E$6)*(1+E$6)/($D10-E$6)/(1+$D10)^'Valuation'!M19)+'Valuation'!D35-'Valuation'!D36)&lt;'Valuation'!$D$38*'Assumptions'!$D$124+'Assumptions'!$D$122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E$6)*(1+E$6)/($D10-E$6)/(1+$D10)^'Valuation'!M19)+'Valuation'!D35-'Valuation'!D36)-'Assumptions'!$D$122-'Assumptions'!$D$123)/'Valuation'!$D$38,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E$6)*(1+E$6)/($D10-E$6)/(1+$D10)^'Valuation'!M19)+'Valuation'!D35-'Valuation'!D36)&lt;('Valuation'!$D$38+'Valuation'!$D$40)*'Assumptions'!$D$125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E$6)*(1+E$6)/($D10-E$6)/(1+$D10)^'Valuation'!M19)+'Valuation'!D35-'Valuation'!D36)-'Assumptions'!$D$123)/('Valuation'!$D$38+'Valuation'!$D$40),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E$6)*(1+E$6)/($D10-E$6)/(1+$D10)^'Valuation'!M19)+'Valuation'!D35-'Valuation'!D36)/('Valuation'!$D$38+'Valuation'!$D$40+'Valuation'!$D$41)))</x:f>
        <x:v>24.173204675189503</x:v>
      </x:c>
      <x:c r="F10" s="32" t="n">
        <x:f>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F$6)*(1+F$6)/($D10-F$6)/(1+$D10)^'Valuation'!M19)+'Valuation'!D35-'Valuation'!D36)&lt;'Valuation'!$D$38*'Assumptions'!$D$124+'Assumptions'!$D$122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F$6)*(1+F$6)/($D10-F$6)/(1+$D10)^'Valuation'!M19)+'Valuation'!D35-'Valuation'!D36)-'Assumptions'!$D$122-'Assumptions'!$D$123)/'Valuation'!$D$38,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F$6)*(1+F$6)/($D10-F$6)/(1+$D10)^'Valuation'!M19)+'Valuation'!D35-'Valuation'!D36)&lt;('Valuation'!$D$38+'Valuation'!$D$40)*'Assumptions'!$D$125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F$6)*(1+F$6)/($D10-F$6)/(1+$D10)^'Valuation'!M19)+'Valuation'!D35-'Valuation'!D36)-'Assumptions'!$D$123)/('Valuation'!$D$38+'Valuation'!$D$40),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F$6)*(1+F$6)/($D10-F$6)/(1+$D10)^'Valuation'!M19)+'Valuation'!D35-'Valuation'!D36)/('Valuation'!$D$38+'Valuation'!$D$40+'Valuation'!$D$41)))</x:f>
        <x:v>25.266021382093847</x:v>
      </x:c>
      <x:c r="G10" s="32" t="n">
        <x:f>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G$6)*(1+G$6)/($D10-G$6)/(1+$D10)^'Valuation'!M19)+'Valuation'!D35-'Valuation'!D36)&lt;'Valuation'!$D$38*'Assumptions'!$D$124+'Assumptions'!$D$122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G$6)*(1+G$6)/($D10-G$6)/(1+$D10)^'Valuation'!M19)+'Valuation'!D35-'Valuation'!D36)-'Assumptions'!$D$122-'Assumptions'!$D$123)/'Valuation'!$D$38,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G$6)*(1+G$6)/($D10-G$6)/(1+$D10)^'Valuation'!M19)+'Valuation'!D35-'Valuation'!D36)&lt;('Valuation'!$D$38+'Valuation'!$D$40)*'Assumptions'!$D$125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G$6)*(1+G$6)/($D10-G$6)/(1+$D10)^'Valuation'!M19)+'Valuation'!D35-'Valuation'!D36)-'Assumptions'!$D$123)/('Valuation'!$D$38+'Valuation'!$D$40),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G$6)*(1+G$6)/($D10-G$6)/(1+$D10)^'Valuation'!M19)+'Valuation'!D35-'Valuation'!D36)/('Valuation'!$D$38+'Valuation'!$D$40+'Valuation'!$D$41)))</x:f>
        <x:v>26.40678948535193</x:v>
      </x:c>
      <x:c r="H10" s="32" t="n">
        <x:f>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H$6)*(1+H$6)/($D10-H$6)/(1+$D10)^'Valuation'!M19)+'Valuation'!D35-'Valuation'!D36)&lt;'Valuation'!$D$38*'Assumptions'!$D$124+'Assumptions'!$D$122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H$6)*(1+H$6)/($D10-H$6)/(1+$D10)^'Valuation'!M19)+'Valuation'!D35-'Valuation'!D36)-'Assumptions'!$D$122-'Assumptions'!$D$123)/'Valuation'!$D$38,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H$6)*(1+H$6)/($D10-H$6)/(1+$D10)^'Valuation'!M19)+'Valuation'!D35-'Valuation'!D36)&lt;('Valuation'!$D$38+'Valuation'!$D$40)*'Assumptions'!$D$125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H$6)*(1+H$6)/($D10-H$6)/(1+$D10)^'Valuation'!M19)+'Valuation'!D35-'Valuation'!D36)-'Assumptions'!$D$123)/('Valuation'!$D$38+'Valuation'!$D$40),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H$6)*(1+H$6)/($D10-H$6)/(1+$D10)^'Valuation'!M19)+'Valuation'!D35-'Valuation'!D36)/('Valuation'!$D$38+'Valuation'!$D$40+'Valuation'!$D$41)))</x:f>
        <x:v>27.681173882176257</x:v>
      </x:c>
      <x:c r="I10" s="32" t="n">
        <x:f>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I$6)*(1+I$6)/($D10-I$6)/(1+$D10)^'Valuation'!M19)+'Valuation'!D35-'Valuation'!D36)&lt;'Valuation'!$D$38*'Assumptions'!$D$124+'Assumptions'!$D$122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I$6)*(1+I$6)/($D10-I$6)/(1+$D10)^'Valuation'!M19)+'Valuation'!D35-'Valuation'!D36)-'Assumptions'!$D$122-'Assumptions'!$D$123)/'Valuation'!$D$38,IF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I$6)*(1+I$6)/($D10-I$6)/(1+$D10)^'Valuation'!M19)+'Valuation'!D35-'Valuation'!D36)&lt;('Valuation'!$D$38+'Valuation'!$D$40)*'Assumptions'!$D$125+'Assumptions'!$D$123,(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I$6)*(1+I$6)/($D10-I$6)/(1+$D10)^'Valuation'!M19)+'Valuation'!D35-'Valuation'!D36)-'Assumptions'!$D$123)/('Valuation'!$D$38+'Valuation'!$D$40),(('Valuation'!H16*'Valuation'!H18/(1+$D10)^'Valuation'!H19+'Valuation'!J16/(1+$D10)^'Valuation'!J19+'Valuation'!K16/(1+$D10)^'Valuation'!K19+'Valuation'!L16/(1+$D10)^'Valuation'!L19+'Valuation'!M16/(1+$D10)^'Valuation'!M19)+(('Operations'!M20*(1-'Assumptions'!$D$69)+'Operations'!M21+'CapitalWC'!M21-'CapitalWC'!M25-'CapitalWC'!M10-'CapitalWC'!M42*I$6)*(1+I$6)/($D10-I$6)/(1+$D10)^'Valuation'!M19)+'Valuation'!D35-'Valuation'!D36)/('Valuation'!$D$38+'Valuation'!$D$40+'Valuation'!$D$41)))</x:f>
        <x:v>29.114227627610543</x:v>
      </x:c>
      <x:c r="J10" s="2"/>
      <x:c r="K10" s="2"/>
      <x:c r="L10" s="2"/>
      <x:c r="M10" s="2"/>
      <x:c r="N10" s="1"/>
      <x:c r="O10" s="1"/>
    </x:row>
    <x:row r="11" ht="21" customHeight="1">
      <x:c r="A11" s="1"/>
      <x:c r="B11" s="1"/>
      <x:c r="C11" s="1"/>
      <x:c r="D11" s="20" t="n">
        <x:v>0.125</x:v>
      </x:c>
      <x:c r="E11" s="32" t="n">
        <x:f>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E$6)*(1+E$6)/($D11-E$6)/(1+$D11)^'Valuation'!M19)+'Valuation'!D35-'Valuation'!D36)&lt;'Valuation'!$D$38*'Assumptions'!$D$124+'Assumptions'!$D$122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E$6)*(1+E$6)/($D11-E$6)/(1+$D11)^'Valuation'!M19)+'Valuation'!D35-'Valuation'!D36)-'Assumptions'!$D$122-'Assumptions'!$D$123)/'Valuation'!$D$38,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E$6)*(1+E$6)/($D11-E$6)/(1+$D11)^'Valuation'!M19)+'Valuation'!D35-'Valuation'!D36)&lt;('Valuation'!$D$38+'Valuation'!$D$40)*'Assumptions'!$D$125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E$6)*(1+E$6)/($D11-E$6)/(1+$D11)^'Valuation'!M19)+'Valuation'!D35-'Valuation'!D36)-'Assumptions'!$D$123)/('Valuation'!$D$38+'Valuation'!$D$40),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E$6)*(1+E$6)/($D11-E$6)/(1+$D11)^'Valuation'!M19)+'Valuation'!D35-'Valuation'!D36)/('Valuation'!$D$38+'Valuation'!$D$40+'Valuation'!$D$41)))</x:f>
        <x:v>21.42746666364281</x:v>
      </x:c>
      <x:c r="F11" s="32" t="n">
        <x:f>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F$6)*(1+F$6)/($D11-F$6)/(1+$D11)^'Valuation'!M19)+'Valuation'!D35-'Valuation'!D36)&lt;'Valuation'!$D$38*'Assumptions'!$D$124+'Assumptions'!$D$122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F$6)*(1+F$6)/($D11-F$6)/(1+$D11)^'Valuation'!M19)+'Valuation'!D35-'Valuation'!D36)-'Assumptions'!$D$122-'Assumptions'!$D$123)/'Valuation'!$D$38,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F$6)*(1+F$6)/($D11-F$6)/(1+$D11)^'Valuation'!M19)+'Valuation'!D35-'Valuation'!D36)&lt;('Valuation'!$D$38+'Valuation'!$D$40)*'Assumptions'!$D$125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F$6)*(1+F$6)/($D11-F$6)/(1+$D11)^'Valuation'!M19)+'Valuation'!D35-'Valuation'!D36)-'Assumptions'!$D$123)/('Valuation'!$D$38+'Valuation'!$D$40),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F$6)*(1+F$6)/($D11-F$6)/(1+$D11)^'Valuation'!M19)+'Valuation'!D35-'Valuation'!D36)/('Valuation'!$D$38+'Valuation'!$D$40+'Valuation'!$D$41)))</x:f>
        <x:v>22.31404792658661</x:v>
      </x:c>
      <x:c r="G11" s="32" t="n">
        <x:f>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G$6)*(1+G$6)/($D11-G$6)/(1+$D11)^'Valuation'!M19)+'Valuation'!D35-'Valuation'!D36)&lt;'Valuation'!$D$38*'Assumptions'!$D$124+'Assumptions'!$D$122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G$6)*(1+G$6)/($D11-G$6)/(1+$D11)^'Valuation'!M19)+'Valuation'!D35-'Valuation'!D36)-'Assumptions'!$D$122-'Assumptions'!$D$123)/'Valuation'!$D$38,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G$6)*(1+G$6)/($D11-G$6)/(1+$D11)^'Valuation'!M19)+'Valuation'!D35-'Valuation'!D36)&lt;('Valuation'!$D$38+'Valuation'!$D$40)*'Assumptions'!$D$125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G$6)*(1+G$6)/($D11-G$6)/(1+$D11)^'Valuation'!M19)+'Valuation'!D35-'Valuation'!D36)-'Assumptions'!$D$123)/('Valuation'!$D$38+'Valuation'!$D$40),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G$6)*(1+G$6)/($D11-G$6)/(1+$D11)^'Valuation'!M19)+'Valuation'!D35-'Valuation'!D36)/('Valuation'!$D$38+'Valuation'!$D$40+'Valuation'!$D$41)))</x:f>
        <x:v>23.28876172754517</x:v>
      </x:c>
      <x:c r="H11" s="32" t="n">
        <x:f>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H$6)*(1+H$6)/($D11-H$6)/(1+$D11)^'Valuation'!M19)+'Valuation'!D35-'Valuation'!D36)&lt;'Valuation'!$D$38*'Assumptions'!$D$124+'Assumptions'!$D$122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H$6)*(1+H$6)/($D11-H$6)/(1+$D11)^'Valuation'!M19)+'Valuation'!D35-'Valuation'!D36)-'Assumptions'!$D$122-'Assumptions'!$D$123)/'Valuation'!$D$38,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H$6)*(1+H$6)/($D11-H$6)/(1+$D11)^'Valuation'!M19)+'Valuation'!D35-'Valuation'!D36)&lt;('Valuation'!$D$38+'Valuation'!$D$40)*'Assumptions'!$D$125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H$6)*(1+H$6)/($D11-H$6)/(1+$D11)^'Valuation'!M19)+'Valuation'!D35-'Valuation'!D36)-'Assumptions'!$D$123)/('Valuation'!$D$38+'Valuation'!$D$40),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H$6)*(1+H$6)/($D11-H$6)/(1+$D11)^'Valuation'!M19)+'Valuation'!D35-'Valuation'!D36)/('Valuation'!$D$38+'Valuation'!$D$40+'Valuation'!$D$41)))</x:f>
        <x:v>24.36552373041558</x:v>
      </x:c>
      <x:c r="I11" s="32" t="n">
        <x:f>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I$6)*(1+I$6)/($D11-I$6)/(1+$D11)^'Valuation'!M19)+'Valuation'!D35-'Valuation'!D36)&lt;'Valuation'!$D$38*'Assumptions'!$D$124+'Assumptions'!$D$122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I$6)*(1+I$6)/($D11-I$6)/(1+$D11)^'Valuation'!M19)+'Valuation'!D35-'Valuation'!D36)-'Assumptions'!$D$122-'Assumptions'!$D$123)/'Valuation'!$D$38,IF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I$6)*(1+I$6)/($D11-I$6)/(1+$D11)^'Valuation'!M19)+'Valuation'!D35-'Valuation'!D36)&lt;('Valuation'!$D$38+'Valuation'!$D$40)*'Assumptions'!$D$125+'Assumptions'!$D$123,(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I$6)*(1+I$6)/($D11-I$6)/(1+$D11)^'Valuation'!M19)+'Valuation'!D35-'Valuation'!D36)-'Assumptions'!$D$123)/('Valuation'!$D$38+'Valuation'!$D$40),(('Valuation'!H16*'Valuation'!H18/(1+$D11)^'Valuation'!H19+'Valuation'!J16/(1+$D11)^'Valuation'!J19+'Valuation'!K16/(1+$D11)^'Valuation'!K19+'Valuation'!L16/(1+$D11)^'Valuation'!L19+'Valuation'!M16/(1+$D11)^'Valuation'!M19)+(('Operations'!M20*(1-'Assumptions'!$D$69)+'Operations'!M21+'CapitalWC'!M21-'CapitalWC'!M25-'CapitalWC'!M10-'CapitalWC'!M42*I$6)*(1+I$6)/($D11-I$6)/(1+$D11)^'Valuation'!M19)+'Valuation'!D35-'Valuation'!D36)/('Valuation'!$D$38+'Valuation'!$D$40+'Valuation'!$D$41)))</x:f>
        <x:v>25.516788454863846</x:v>
      </x:c>
      <x:c r="J11" s="2"/>
      <x:c r="K11" s="2"/>
      <x:c r="L11" s="2"/>
      <x:c r="M11" s="2"/>
      <x:c r="N11" s="1"/>
      <x:c r="O11" s="1"/>
    </x:row>
    <x:row r="12" ht="21" customHeight="1">
      <x:c r="A12" s="1"/>
      <x:c r="B12" s="1"/>
      <x:c r="C12" s="1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1"/>
      <x:c r="O12" s="1"/>
    </x:row>
    <x:row r="13" ht="21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1"/>
      <x:c r="O13" s="1"/>
    </x:row>
    <x:row r="14" ht="24" customHeight="1">
      <x:c r="A14" s="1"/>
      <x:c r="B14" s="1"/>
      <x:c r="C14" s="16" t="str">
        <x:v>FY2028 EPS accretion: offer price / realised gross synergies</x:v>
      </x:c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  <x:c r="O14" s="1"/>
    </x:row>
    <x:row r="15" ht="21" customHeight="1">
      <x:c r="A15" s="1"/>
      <x:c r="B15" s="1"/>
      <x:c r="C15" s="1"/>
      <x:c r="D15" s="2"/>
      <x:c r="E15" s="20" t="n">
        <x:v>0</x:v>
      </x:c>
      <x:c r="F15" s="20" t="n">
        <x:v>0.5</x:v>
      </x:c>
      <x:c r="G15" s="20" t="n">
        <x:v>1</x:v>
      </x:c>
      <x:c r="H15" s="20" t="n">
        <x:v>1.5</x:v>
      </x:c>
      <x:c r="I15" s="20" t="n">
        <x:v>2</x:v>
      </x:c>
      <x:c r="J15" s="2"/>
      <x:c r="K15" s="2"/>
      <x:c r="L15" s="2"/>
      <x:c r="M15" s="2"/>
      <x:c r="N15" s="1"/>
      <x:c r="O15" s="1"/>
    </x:row>
    <x:row r="16" ht="21" customHeight="1">
      <x:c r="A16" s="1"/>
      <x:c r="B16" s="1"/>
      <x:c r="C16" s="1"/>
      <x:c r="D16" s="13" t="n">
        <x:v>25</x:v>
      </x:c>
      <x:c r="E16" s="33" t="n">
        <x:f>(('Accretion'!K7+SUM('Accretion'!K10:K14)+('Synergies'!K12+'Synergies'!K14)*(E$15-1)*(1-'Assumptions'!$D$69)-(('Deal'!$D$15*$D16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16*(1+'Assumptions'!$D$95)+'Deal'!$D$26)/(1-'Assumptions'!$D$93*'Assumptions'!$D$96))*(1-'Assumptions'!$D$93-'Assumptions'!$D$92)/'Assumptions'!$D$106))/'Accretion'!K9-1</x:f>
        <x:v>0.025813208797575316</x:v>
      </x:c>
      <x:c r="F16" s="33" t="n">
        <x:f>(('Accretion'!K7+SUM('Accretion'!K10:K14)+('Synergies'!K12+'Synergies'!K14)*(F$15-1)*(1-'Assumptions'!$D$69)-(('Deal'!$D$15*$D16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16*(1+'Assumptions'!$D$95)+'Deal'!$D$26)/(1-'Assumptions'!$D$93*'Assumptions'!$D$96))*(1-'Assumptions'!$D$93-'Assumptions'!$D$92)/'Assumptions'!$D$106))/'Accretion'!K9-1</x:f>
        <x:v>0.027133857763915525</x:v>
      </x:c>
      <x:c r="G16" s="33" t="n">
        <x:f>(('Accretion'!K7+SUM('Accretion'!K10:K14)+('Synergies'!K12+'Synergies'!K14)*(G$15-1)*(1-'Assumptions'!$D$69)-(('Deal'!$D$15*$D16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16*(1+'Assumptions'!$D$95)+'Deal'!$D$26)/(1-'Assumptions'!$D$93*'Assumptions'!$D$96))*(1-'Assumptions'!$D$93-'Assumptions'!$D$92)/'Assumptions'!$D$106))/'Accretion'!K9-1</x:f>
        <x:v>0.028454506730255957</x:v>
      </x:c>
      <x:c r="H16" s="33" t="n">
        <x:f>(('Accretion'!K7+SUM('Accretion'!K10:K14)+('Synergies'!K12+'Synergies'!K14)*(H$15-1)*(1-'Assumptions'!$D$69)-(('Deal'!$D$15*$D16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16*(1+'Assumptions'!$D$95)+'Deal'!$D$26)/(1-'Assumptions'!$D$93*'Assumptions'!$D$96))*(1-'Assumptions'!$D$93-'Assumptions'!$D$92)/'Assumptions'!$D$106))/'Accretion'!K9-1</x:f>
        <x:v>0.029775155696596167</x:v>
      </x:c>
      <x:c r="I16" s="33" t="n">
        <x:f>(('Accretion'!K7+SUM('Accretion'!K10:K14)+('Synergies'!K12+'Synergies'!K14)*(I$15-1)*(1-'Assumptions'!$D$69)-(('Deal'!$D$15*$D16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16*(1+'Assumptions'!$D$95)+'Deal'!$D$26)/(1-'Assumptions'!$D$93*'Assumptions'!$D$96))*(1-'Assumptions'!$D$93-'Assumptions'!$D$92)/'Assumptions'!$D$106))/'Accretion'!K9-1</x:f>
        <x:v>0.031095804662936377</x:v>
      </x:c>
      <x:c r="J16" s="2"/>
      <x:c r="K16" s="2"/>
      <x:c r="L16" s="2"/>
      <x:c r="M16" s="2"/>
      <x:c r="N16" s="1"/>
      <x:c r="O16" s="12" t="str">
        <x:v>Realisation scales gross revenue and cost benefits. Integration costs/dis-synergies unchanged. Zero-synergy scenario separately removes all gross benefits.</x:v>
      </x:c>
    </x:row>
    <x:row r="17" ht="21" customHeight="1">
      <x:c r="A17" s="1"/>
      <x:c r="B17" s="1"/>
      <x:c r="C17" s="1"/>
      <x:c r="D17" s="13" t="n">
        <x:v>30</x:v>
      </x:c>
      <x:c r="E17" s="33" t="n">
        <x:f>(('Accretion'!K7+SUM('Accretion'!K10:K14)+('Synergies'!K12+'Synergies'!K14)*(E$15-1)*(1-'Assumptions'!$D$69)-(('Deal'!$D$15*$D17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17*(1+'Assumptions'!$D$95)+'Deal'!$D$26)/(1-'Assumptions'!$D$93*'Assumptions'!$D$96))*(1-'Assumptions'!$D$93-'Assumptions'!$D$92)/'Assumptions'!$D$106))/'Accretion'!K9-1</x:f>
        <x:v>0.020882352098114065</x:v>
      </x:c>
      <x:c r="F17" s="33" t="n">
        <x:f>(('Accretion'!K7+SUM('Accretion'!K10:K14)+('Synergies'!K12+'Synergies'!K14)*(F$15-1)*(1-'Assumptions'!$D$69)-(('Deal'!$D$15*$D17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17*(1+'Assumptions'!$D$95)+'Deal'!$D$26)/(1-'Assumptions'!$D$93*'Assumptions'!$D$96))*(1-'Assumptions'!$D$93-'Assumptions'!$D$92)/'Assumptions'!$D$106))/'Accretion'!K9-1</x:f>
        <x:v>0.022201229736579453</x:v>
      </x:c>
      <x:c r="G17" s="33" t="n">
        <x:f>(('Accretion'!K7+SUM('Accretion'!K10:K14)+('Synergies'!K12+'Synergies'!K14)*(G$15-1)*(1-'Assumptions'!$D$69)-(('Deal'!$D$15*$D17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17*(1+'Assumptions'!$D$95)+'Deal'!$D$26)/(1-'Assumptions'!$D$93*'Assumptions'!$D$96))*(1-'Assumptions'!$D$93-'Assumptions'!$D$92)/'Assumptions'!$D$106))/'Accretion'!K9-1</x:f>
        <x:v>0.02352010737504484</x:v>
      </x:c>
      <x:c r="H17" s="33" t="n">
        <x:f>(('Accretion'!K7+SUM('Accretion'!K10:K14)+('Synergies'!K12+'Synergies'!K14)*(H$15-1)*(1-'Assumptions'!$D$69)-(('Deal'!$D$15*$D17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17*(1+'Assumptions'!$D$95)+'Deal'!$D$26)/(1-'Assumptions'!$D$93*'Assumptions'!$D$96))*(1-'Assumptions'!$D$93-'Assumptions'!$D$92)/'Assumptions'!$D$106))/'Accretion'!K9-1</x:f>
        <x:v>0.02483898501351023</x:v>
      </x:c>
      <x:c r="I17" s="33" t="n">
        <x:f>(('Accretion'!K7+SUM('Accretion'!K10:K14)+('Synergies'!K12+'Synergies'!K14)*(I$15-1)*(1-'Assumptions'!$D$69)-(('Deal'!$D$15*$D17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17*(1+'Assumptions'!$D$95)+'Deal'!$D$26)/(1-'Assumptions'!$D$93*'Assumptions'!$D$96))*(1-'Assumptions'!$D$93-'Assumptions'!$D$92)/'Assumptions'!$D$106))/'Accretion'!K9-1</x:f>
        <x:v>0.026157862651975616</x:v>
      </x:c>
      <x:c r="J17" s="2"/>
      <x:c r="K17" s="2"/>
      <x:c r="L17" s="2"/>
      <x:c r="M17" s="2"/>
      <x:c r="N17" s="1"/>
      <x:c r="O17" s="1"/>
    </x:row>
    <x:row r="18" ht="21" customHeight="1">
      <x:c r="A18" s="1"/>
      <x:c r="B18" s="1"/>
      <x:c r="C18" s="1"/>
      <x:c r="D18" s="13" t="n">
        <x:v>35</x:v>
      </x:c>
      <x:c r="E18" s="33" t="n">
        <x:f>(('Accretion'!K7+SUM('Accretion'!K10:K14)+('Synergies'!K12+'Synergies'!K14)*(E$15-1)*(1-'Assumptions'!$D$69)-(('Deal'!$D$15*$D18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18*(1+'Assumptions'!$D$95)+'Deal'!$D$26)/(1-'Assumptions'!$D$93*'Assumptions'!$D$96))*(1-'Assumptions'!$D$93-'Assumptions'!$D$92)/'Assumptions'!$D$106))/'Accretion'!K9-1</x:f>
        <x:v>0.015964704760242032</x:v>
      </x:c>
      <x:c r="F18" s="33" t="n">
        <x:f>(('Accretion'!K7+SUM('Accretion'!K10:K14)+('Synergies'!K12+'Synergies'!K14)*(F$15-1)*(1-'Assumptions'!$D$69)-(('Deal'!$D$15*$D18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18*(1+'Assumptions'!$D$95)+'Deal'!$D$26)/(1-'Assumptions'!$D$93*'Assumptions'!$D$96))*(1-'Assumptions'!$D$93-'Assumptions'!$D$92)/'Assumptions'!$D$106))/'Accretion'!K9-1</x:f>
        <x:v>0.017281815816074797</x:v>
      </x:c>
      <x:c r="G18" s="33" t="n">
        <x:f>(('Accretion'!K7+SUM('Accretion'!K10:K14)+('Synergies'!K12+'Synergies'!K14)*(G$15-1)*(1-'Assumptions'!$D$69)-(('Deal'!$D$15*$D18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18*(1+'Assumptions'!$D$95)+'Deal'!$D$26)/(1-'Assumptions'!$D$93*'Assumptions'!$D$96))*(1-'Assumptions'!$D$93-'Assumptions'!$D$92)/'Assumptions'!$D$106))/'Accretion'!K9-1</x:f>
        <x:v>0.018598926871907562</x:v>
      </x:c>
      <x:c r="H18" s="33" t="n">
        <x:f>(('Accretion'!K7+SUM('Accretion'!K10:K14)+('Synergies'!K12+'Synergies'!K14)*(H$15-1)*(1-'Assumptions'!$D$69)-(('Deal'!$D$15*$D18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18*(1+'Assumptions'!$D$95)+'Deal'!$D$26)/(1-'Assumptions'!$D$93*'Assumptions'!$D$96))*(1-'Assumptions'!$D$93-'Assumptions'!$D$92)/'Assumptions'!$D$106))/'Accretion'!K9-1</x:f>
        <x:v>0.01991603792774055</x:v>
      </x:c>
      <x:c r="I18" s="33" t="n">
        <x:f>(('Accretion'!K7+SUM('Accretion'!K10:K14)+('Synergies'!K12+'Synergies'!K14)*(I$15-1)*(1-'Assumptions'!$D$69)-(('Deal'!$D$15*$D18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18*(1+'Assumptions'!$D$95)+'Deal'!$D$26)/(1-'Assumptions'!$D$93*'Assumptions'!$D$96))*(1-'Assumptions'!$D$93-'Assumptions'!$D$92)/'Assumptions'!$D$106))/'Accretion'!K9-1</x:f>
        <x:v>0.02123314898357309</x:v>
      </x:c>
      <x:c r="J18" s="2"/>
      <x:c r="K18" s="2"/>
      <x:c r="L18" s="2"/>
      <x:c r="M18" s="2"/>
      <x:c r="N18" s="1"/>
      <x:c r="O18" s="1"/>
    </x:row>
    <x:row r="19" ht="21" customHeight="1">
      <x:c r="A19" s="1"/>
      <x:c r="B19" s="1"/>
      <x:c r="C19" s="1"/>
      <x:c r="D19" s="13" t="n">
        <x:v>40</x:v>
      </x:c>
      <x:c r="E19" s="33" t="n">
        <x:f>(('Accretion'!K7+SUM('Accretion'!K10:K14)+('Synergies'!K12+'Synergies'!K14)*(E$15-1)*(1-'Assumptions'!$D$69)-(('Deal'!$D$15*$D19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19*(1+'Assumptions'!$D$95)+'Deal'!$D$26)/(1-'Assumptions'!$D$93*'Assumptions'!$D$96))*(1-'Assumptions'!$D$93-'Assumptions'!$D$92)/'Assumptions'!$D$106))/'Accretion'!K9-1</x:f>
        <x:v>0.011060213774764183</x:v>
      </x:c>
      <x:c r="F19" s="33" t="n">
        <x:f>(('Accretion'!K7+SUM('Accretion'!K10:K14)+('Synergies'!K12+'Synergies'!K14)*(F$15-1)*(1-'Assumptions'!$D$69)-(('Deal'!$D$15*$D19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19*(1+'Assumptions'!$D$95)+'Deal'!$D$26)/(1-'Assumptions'!$D$93*'Assumptions'!$D$96))*(1-'Assumptions'!$D$93-'Assumptions'!$D$92)/'Assumptions'!$D$106))/'Accretion'!K9-1</x:f>
        <x:v>0.012375562974163978</x:v>
      </x:c>
      <x:c r="G19" s="33" t="n">
        <x:f>(('Accretion'!K7+SUM('Accretion'!K10:K14)+('Synergies'!K12+'Synergies'!K14)*(G$15-1)*(1-'Assumptions'!$D$69)-(('Deal'!$D$15*$D19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19*(1+'Assumptions'!$D$95)+'Deal'!$D$26)/(1-'Assumptions'!$D$93*'Assumptions'!$D$96))*(1-'Assumptions'!$D$93-'Assumptions'!$D$92)/'Assumptions'!$D$106))/'Accretion'!K9-1</x:f>
        <x:v>0.013690912173563996</x:v>
      </x:c>
      <x:c r="H19" s="33" t="n">
        <x:f>(('Accretion'!K7+SUM('Accretion'!K10:K14)+('Synergies'!K12+'Synergies'!K14)*(H$15-1)*(1-'Assumptions'!$D$69)-(('Deal'!$D$15*$D19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19*(1+'Assumptions'!$D$95)+'Deal'!$D$26)/(1-'Assumptions'!$D$93*'Assumptions'!$D$96))*(1-'Assumptions'!$D$93-'Assumptions'!$D$92)/'Assumptions'!$D$106))/'Accretion'!K9-1</x:f>
        <x:v>0.015006261372964014</x:v>
      </x:c>
      <x:c r="I19" s="33" t="n">
        <x:f>(('Accretion'!K7+SUM('Accretion'!K10:K14)+('Synergies'!K12+'Synergies'!K14)*(I$15-1)*(1-'Assumptions'!$D$69)-(('Deal'!$D$15*$D19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19*(1+'Assumptions'!$D$95)+'Deal'!$D$26)/(1-'Assumptions'!$D$93*'Assumptions'!$D$96))*(1-'Assumptions'!$D$93-'Assumptions'!$D$92)/'Assumptions'!$D$106))/'Accretion'!K9-1</x:f>
        <x:v>0.01632161057236403</x:v>
      </x:c>
      <x:c r="J19" s="2"/>
      <x:c r="K19" s="2"/>
      <x:c r="L19" s="2"/>
      <x:c r="M19" s="2"/>
      <x:c r="N19" s="1"/>
      <x:c r="O19" s="1"/>
    </x:row>
    <x:row r="20" ht="21" customHeight="1">
      <x:c r="A20" s="1"/>
      <x:c r="B20" s="1"/>
      <x:c r="C20" s="1"/>
      <x:c r="D20" s="13" t="n">
        <x:v>45</x:v>
      </x:c>
      <x:c r="E20" s="33" t="n">
        <x:f>(('Accretion'!K7+SUM('Accretion'!K10:K14)+('Synergies'!K12+'Synergies'!K14)*(E$15-1)*(1-'Assumptions'!$D$69)-(('Deal'!$D$15*$D20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20*(1+'Assumptions'!$D$95)+'Deal'!$D$26)/(1-'Assumptions'!$D$93*'Assumptions'!$D$96))*(1-'Assumptions'!$D$93-'Assumptions'!$D$92)/'Assumptions'!$D$106))/'Accretion'!K9-1</x:f>
        <x:v>0.0061688264157422346</x:v>
      </x:c>
      <x:c r="F20" s="33" t="n">
        <x:f>(('Accretion'!K7+SUM('Accretion'!K10:K14)+('Synergies'!K12+'Synergies'!K14)*(F$15-1)*(1-'Assumptions'!$D$69)-(('Deal'!$D$15*$D20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20*(1+'Assumptions'!$D$95)+'Deal'!$D$26)/(1-'Assumptions'!$D$93*'Assumptions'!$D$96))*(1-'Assumptions'!$D$93-'Assumptions'!$D$92)/'Assumptions'!$D$106))/'Accretion'!K9-1</x:f>
        <x:v>0.007482418465968088</x:v>
      </x:c>
      <x:c r="G20" s="33" t="n">
        <x:f>(('Accretion'!K7+SUM('Accretion'!K10:K14)+('Synergies'!K12+'Synergies'!K14)*(G$15-1)*(1-'Assumptions'!$D$69)-(('Deal'!$D$15*$D20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20*(1+'Assumptions'!$D$95)+'Deal'!$D$26)/(1-'Assumptions'!$D$93*'Assumptions'!$D$96))*(1-'Assumptions'!$D$93-'Assumptions'!$D$92)/'Assumptions'!$D$106))/'Accretion'!K9-1</x:f>
        <x:v>0.008796010516194164</x:v>
      </x:c>
      <x:c r="H20" s="33" t="n">
        <x:f>(('Accretion'!K7+SUM('Accretion'!K10:K14)+('Synergies'!K12+'Synergies'!K14)*(H$15-1)*(1-'Assumptions'!$D$69)-(('Deal'!$D$15*$D20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20*(1+'Assumptions'!$D$95)+'Deal'!$D$26)/(1-'Assumptions'!$D$93*'Assumptions'!$D$96))*(1-'Assumptions'!$D$93-'Assumptions'!$D$92)/'Assumptions'!$D$106))/'Accretion'!K9-1</x:f>
        <x:v>0.010109602566420017</x:v>
      </x:c>
      <x:c r="I20" s="33" t="n">
        <x:f>(('Accretion'!K7+SUM('Accretion'!K10:K14)+('Synergies'!K12+'Synergies'!K14)*(I$15-1)*(1-'Assumptions'!$D$69)-(('Deal'!$D$15*$D20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$D20*(1+'Assumptions'!$D$95)+'Deal'!$D$26)/(1-'Assumptions'!$D$93*'Assumptions'!$D$96))*(1-'Assumptions'!$D$93-'Assumptions'!$D$92)/'Assumptions'!$D$106))/'Accretion'!K9-1</x:f>
        <x:v>0.011423194616646093</x:v>
      </x:c>
      <x:c r="J20" s="2"/>
      <x:c r="K20" s="2"/>
      <x:c r="L20" s="2"/>
      <x:c r="M20" s="2"/>
      <x:c r="N20" s="1"/>
      <x:c r="O20" s="1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1"/>
      <x:c r="O22" s="1"/>
    </x:row>
    <x:row r="23" ht="24" customHeight="1">
      <x:c r="A23" s="1"/>
      <x:c r="B23" s="1"/>
      <x:c r="C23" s="16" t="str">
        <x:v>FY2028 EPS accretion: premium / debt funding (cash fixed)</x:v>
      </x:c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"/>
      <x:c r="O23" s="1"/>
    </x:row>
    <x:row r="24" ht="21" customHeight="1">
      <x:c r="A24" s="1"/>
      <x:c r="B24" s="1"/>
      <x:c r="C24" s="1"/>
      <x:c r="D24" s="2"/>
      <x:c r="E24" s="20" t="n">
        <x:v>0.2</x:v>
      </x:c>
      <x:c r="F24" s="20" t="n">
        <x:v>0.35</x:v>
      </x:c>
      <x:c r="G24" s="20" t="n">
        <x:v>0.5</x:v>
      </x:c>
      <x:c r="H24" s="20" t="n">
        <x:v>0.65</x:v>
      </x:c>
      <x:c r="I24" s="20" t="n">
        <x:v>0.8</x:v>
      </x:c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0" t="n">
        <x:v>0</x:v>
      </x:c>
      <x:c r="E25" s="33" t="n">
        <x:f>(('Accretion'!K7+SUM('Accretion'!K10:K14)+('Synergies'!K12+'Synergies'!K14)*(1-1)*(1-'Assumptions'!$D$69)-(('Deal'!$D$15*('Assumptions'!$D$90*(1+$D25))*(1+'Assumptions'!$D$95)+'Deal'!$D$26)/(1-E$24*'Assumptions'!$D$96))*(E$24*'Assumptions'!$D$94+'Assumptions'!$D$92*'Assumptions'!$D$82+E$24*'Assumptions'!$D$96/'Assumptions'!$D$97)*(1-'Assumptions'!$D$69))/('Accretion'!K8+(('Deal'!$D$15*('Assumptions'!$D$90*(1+$D25))*(1+'Assumptions'!$D$95)+'Deal'!$D$26)/(1-E$24*'Assumptions'!$D$96))*(1-E$24-'Assumptions'!$D$92)/'Assumptions'!$D$106))/'Accretion'!K9-1</x:f>
        <x:v>0.017334253082208706</x:v>
      </x:c>
      <x:c r="F25" s="33" t="n">
        <x:f>(('Accretion'!K7+SUM('Accretion'!K10:K14)+('Synergies'!K12+'Synergies'!K14)*(1-1)*(1-'Assumptions'!$D$69)-(('Deal'!$D$15*('Assumptions'!$D$90*(1+$D25))*(1+'Assumptions'!$D$95)+'Deal'!$D$26)/(1-F$24*'Assumptions'!$D$96))*(F$24*'Assumptions'!$D$94+'Assumptions'!$D$92*'Assumptions'!$D$82+F$24*'Assumptions'!$D$96/'Assumptions'!$D$97)*(1-'Assumptions'!$D$69))/('Accretion'!K8+(('Deal'!$D$15*('Assumptions'!$D$90*(1+$D25))*(1+'Assumptions'!$D$95)+'Deal'!$D$26)/(1-F$24*'Assumptions'!$D$96))*(1-F$24-'Assumptions'!$D$92)/'Assumptions'!$D$106))/'Accretion'!K9-1</x:f>
        <x:v>0.01909223985365771</x:v>
      </x:c>
      <x:c r="G25" s="33" t="n">
        <x:f>(('Accretion'!K7+SUM('Accretion'!K10:K14)+('Synergies'!K12+'Synergies'!K14)*(1-1)*(1-'Assumptions'!$D$69)-(('Deal'!$D$15*('Assumptions'!$D$90*(1+$D25))*(1+'Assumptions'!$D$95)+'Deal'!$D$26)/(1-G$24*'Assumptions'!$D$96))*(G$24*'Assumptions'!$D$94+'Assumptions'!$D$92*'Assumptions'!$D$82+G$24*'Assumptions'!$D$96/'Assumptions'!$D$97)*(1-'Assumptions'!$D$69))/('Accretion'!K8+(('Deal'!$D$15*('Assumptions'!$D$90*(1+$D25))*(1+'Assumptions'!$D$95)+'Deal'!$D$26)/(1-G$24*'Assumptions'!$D$96))*(1-G$24-'Assumptions'!$D$92)/'Assumptions'!$D$106))/'Accretion'!K9-1</x:f>
        <x:v>0.020881267756726496</x:v>
      </x:c>
      <x:c r="H25" s="33" t="n">
        <x:f>(('Accretion'!K7+SUM('Accretion'!K10:K14)+('Synergies'!K12+'Synergies'!K14)*(1-1)*(1-'Assumptions'!$D$69)-(('Deal'!$D$15*('Assumptions'!$D$90*(1+$D25))*(1+'Assumptions'!$D$95)+'Deal'!$D$26)/(1-H$24*'Assumptions'!$D$96))*(H$24*'Assumptions'!$D$94+'Assumptions'!$D$92*'Assumptions'!$D$82+H$24*'Assumptions'!$D$96/'Assumptions'!$D$97)*(1-'Assumptions'!$D$69))/('Accretion'!K8+(('Deal'!$D$15*('Assumptions'!$D$90*(1+$D25))*(1+'Assumptions'!$D$95)+'Deal'!$D$26)/(1-H$24*'Assumptions'!$D$96))*(1-H$24-'Assumptions'!$D$92)/'Assumptions'!$D$106))/'Accretion'!K9-1</x:f>
        <x:v>0.0227021662639022</x:v>
      </x:c>
      <x:c r="I25" s="33" t="n">
        <x:f>(('Accretion'!K7+SUM('Accretion'!K10:K14)+('Synergies'!K12+'Synergies'!K14)*(1-1)*(1-'Assumptions'!$D$69)-(('Deal'!$D$15*('Assumptions'!$D$90*(1+$D25))*(1+'Assumptions'!$D$95)+'Deal'!$D$26)/(1-I$24*'Assumptions'!$D$96))*(I$24*'Assumptions'!$D$94+'Assumptions'!$D$92*'Assumptions'!$D$82+I$24*'Assumptions'!$D$96/'Assumptions'!$D$97)*(1-'Assumptions'!$D$69))/('Accretion'!K8+(('Deal'!$D$15*('Assumptions'!$D$90*(1+$D25))*(1+'Assumptions'!$D$95)+'Deal'!$D$26)/(1-I$24*'Assumptions'!$D$96))*(1-I$24-'Assumptions'!$D$92)/'Assumptions'!$D$106))/'Accretion'!K9-1</x:f>
        <x:v>0.024555794666521136</x:v>
      </x:c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/>
      <x:c r="D26" s="20" t="n">
        <x:v>0.1</x:v>
      </x:c>
      <x:c r="E26" s="33" t="n">
        <x:f>(('Accretion'!K7+SUM('Accretion'!K10:K14)+('Synergies'!K12+'Synergies'!K14)*(1-1)*(1-'Assumptions'!$D$69)-(('Deal'!$D$15*('Assumptions'!$D$90*(1+$D26))*(1+'Assumptions'!$D$95)+'Deal'!$D$26)/(1-E$24*'Assumptions'!$D$96))*(E$24*'Assumptions'!$D$94+'Assumptions'!$D$92*'Assumptions'!$D$82+E$24*'Assumptions'!$D$96/'Assumptions'!$D$97)*(1-'Assumptions'!$D$69))/('Accretion'!K8+(('Deal'!$D$15*('Assumptions'!$D$90*(1+$D26))*(1+'Assumptions'!$D$95)+'Deal'!$D$26)/(1-E$24*'Assumptions'!$D$96))*(1-E$24-'Assumptions'!$D$92)/'Assumptions'!$D$106))/'Accretion'!K9-1</x:f>
        <x:v>0.013856964385717374</x:v>
      </x:c>
      <x:c r="F26" s="33" t="n">
        <x:f>(('Accretion'!K7+SUM('Accretion'!K10:K14)+('Synergies'!K12+'Synergies'!K14)*(1-1)*(1-'Assumptions'!$D$69)-(('Deal'!$D$15*('Assumptions'!$D$90*(1+$D26))*(1+'Assumptions'!$D$95)+'Deal'!$D$26)/(1-F$24*'Assumptions'!$D$96))*(F$24*'Assumptions'!$D$94+'Assumptions'!$D$92*'Assumptions'!$D$82+F$24*'Assumptions'!$D$96/'Assumptions'!$D$97)*(1-'Assumptions'!$D$69))/('Accretion'!K8+(('Deal'!$D$15*('Assumptions'!$D$90*(1+$D26))*(1+'Assumptions'!$D$95)+'Deal'!$D$26)/(1-F$24*'Assumptions'!$D$96))*(1-F$24-'Assumptions'!$D$92)/'Assumptions'!$D$106))/'Accretion'!K9-1</x:f>
        <x:v>0.01575443692284617</x:v>
      </x:c>
      <x:c r="G26" s="33" t="n">
        <x:f>(('Accretion'!K7+SUM('Accretion'!K10:K14)+('Synergies'!K12+'Synergies'!K14)*(1-1)*(1-'Assumptions'!$D$69)-(('Deal'!$D$15*('Assumptions'!$D$90*(1+$D26))*(1+'Assumptions'!$D$95)+'Deal'!$D$26)/(1-G$24*'Assumptions'!$D$96))*(G$24*'Assumptions'!$D$94+'Assumptions'!$D$92*'Assumptions'!$D$82+G$24*'Assumptions'!$D$96/'Assumptions'!$D$97)*(1-'Assumptions'!$D$69))/('Accretion'!K8+(('Deal'!$D$15*('Assumptions'!$D$90*(1+$D26))*(1+'Assumptions'!$D$95)+'Deal'!$D$26)/(1-G$24*'Assumptions'!$D$96))*(1-G$24-'Assumptions'!$D$92)/'Assumptions'!$D$106))/'Accretion'!K9-1</x:f>
        <x:v>0.01768775458618843</x:v>
      </x:c>
      <x:c r="H26" s="33" t="n">
        <x:f>(('Accretion'!K7+SUM('Accretion'!K10:K14)+('Synergies'!K12+'Synergies'!K14)*(1-1)*(1-'Assumptions'!$D$69)-(('Deal'!$D$15*('Assumptions'!$D$90*(1+$D26))*(1+'Assumptions'!$D$95)+'Deal'!$D$26)/(1-H$24*'Assumptions'!$D$96))*(H$24*'Assumptions'!$D$94+'Assumptions'!$D$92*'Assumptions'!$D$82+H$24*'Assumptions'!$D$96/'Assumptions'!$D$97)*(1-'Assumptions'!$D$69))/('Accretion'!K8+(('Deal'!$D$15*('Assumptions'!$D$90*(1+$D26))*(1+'Assumptions'!$D$95)+'Deal'!$D$26)/(1-H$24*'Assumptions'!$D$96))*(1-H$24-'Assumptions'!$D$92)/'Assumptions'!$D$106))/'Accretion'!K9-1</x:f>
        <x:v>0.019657942785888283</x:v>
      </x:c>
      <x:c r="I26" s="33" t="n">
        <x:f>(('Accretion'!K7+SUM('Accretion'!K10:K14)+('Synergies'!K12+'Synergies'!K14)*(1-1)*(1-'Assumptions'!$D$69)-(('Deal'!$D$15*('Assumptions'!$D$90*(1+$D26))*(1+'Assumptions'!$D$95)+'Deal'!$D$26)/(1-I$24*'Assumptions'!$D$96))*(I$24*'Assumptions'!$D$94+'Assumptions'!$D$92*'Assumptions'!$D$82+I$24*'Assumptions'!$D$96/'Assumptions'!$D$97)*(1-'Assumptions'!$D$69))/('Accretion'!K8+(('Deal'!$D$15*('Assumptions'!$D$90*(1+$D26))*(1+'Assumptions'!$D$95)+'Deal'!$D$26)/(1-I$24*'Assumptions'!$D$96))*(1-I$24-'Assumptions'!$D$92)/'Assumptions'!$D$106))/'Accretion'!K9-1</x:f>
        <x:v>0.021666066420073182</x:v>
      </x:c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/>
      <x:c r="D27" s="20" t="n">
        <x:v>0.2</x:v>
      </x:c>
      <x:c r="E27" s="33" t="n">
        <x:f>(('Accretion'!K7+SUM('Accretion'!K10:K14)+('Synergies'!K12+'Synergies'!K14)*(1-1)*(1-'Assumptions'!$D$69)-(('Deal'!$D$15*('Assumptions'!$D$90*(1+$D27))*(1+'Assumptions'!$D$95)+'Deal'!$D$26)/(1-E$24*'Assumptions'!$D$96))*(E$24*'Assumptions'!$D$94+'Assumptions'!$D$92*'Assumptions'!$D$82+E$24*'Assumptions'!$D$96/'Assumptions'!$D$97)*(1-'Assumptions'!$D$69))/('Accretion'!K8+(('Deal'!$D$15*('Assumptions'!$D$90*(1+$D27))*(1+'Assumptions'!$D$95)+'Deal'!$D$26)/(1-E$24*'Assumptions'!$D$96))*(1-E$24-'Assumptions'!$D$92)/'Assumptions'!$D$106))/'Accretion'!K9-1</x:f>
        <x:v>0.01039677894277724</x:v>
      </x:c>
      <x:c r="F27" s="33" t="n">
        <x:f>(('Accretion'!K7+SUM('Accretion'!K10:K14)+('Synergies'!K12+'Synergies'!K14)*(1-1)*(1-'Assumptions'!$D$69)-(('Deal'!$D$15*('Assumptions'!$D$90*(1+$D27))*(1+'Assumptions'!$D$95)+'Deal'!$D$26)/(1-F$24*'Assumptions'!$D$96))*(F$24*'Assumptions'!$D$94+'Assumptions'!$D$92*'Assumptions'!$D$82+F$24*'Assumptions'!$D$96/'Assumptions'!$D$97)*(1-'Assumptions'!$D$69))/('Accretion'!K8+(('Deal'!$D$15*('Assumptions'!$D$90*(1+$D27))*(1+'Assumptions'!$D$95)+'Deal'!$D$26)/(1-F$24*'Assumptions'!$D$96))*(1-F$24-'Assumptions'!$D$92)/'Assumptions'!$D$106))/'Accretion'!K9-1</x:f>
        <x:v>0.012429069524398928</x:v>
      </x:c>
      <x:c r="G27" s="33" t="n">
        <x:f>(('Accretion'!K7+SUM('Accretion'!K10:K14)+('Synergies'!K12+'Synergies'!K14)*(1-1)*(1-'Assumptions'!$D$69)-(('Deal'!$D$15*('Assumptions'!$D$90*(1+$D27))*(1+'Assumptions'!$D$95)+'Deal'!$D$26)/(1-G$24*'Assumptions'!$D$96))*(G$24*'Assumptions'!$D$94+'Assumptions'!$D$92*'Assumptions'!$D$82+G$24*'Assumptions'!$D$96/'Assumptions'!$D$97)*(1-'Assumptions'!$D$69))/('Accretion'!K8+(('Deal'!$D$15*('Assumptions'!$D$90*(1+$D27))*(1+'Assumptions'!$D$95)+'Deal'!$D$26)/(1-G$24*'Assumptions'!$D$96))*(1-G$24-'Assumptions'!$D$92)/'Assumptions'!$D$106))/'Accretion'!K9-1</x:f>
        <x:v>0.014502253189374148</x:v>
      </x:c>
      <x:c r="H27" s="33" t="n">
        <x:f>(('Accretion'!K7+SUM('Accretion'!K10:K14)+('Synergies'!K12+'Synergies'!K14)*(1-1)*(1-'Assumptions'!$D$69)-(('Deal'!$D$15*('Assumptions'!$D$90*(1+$D27))*(1+'Assumptions'!$D$95)+'Deal'!$D$26)/(1-H$24*'Assumptions'!$D$96))*(H$24*'Assumptions'!$D$94+'Assumptions'!$D$92*'Assumptions'!$D$82+H$24*'Assumptions'!$D$96/'Assumptions'!$D$97)*(1-'Assumptions'!$D$69))/('Accretion'!K8+(('Deal'!$D$15*('Assumptions'!$D$90*(1+$D27))*(1+'Assumptions'!$D$95)+'Deal'!$D$26)/(1-H$24*'Assumptions'!$D$96))*(1-H$24-'Assumptions'!$D$92)/'Assumptions'!$D$106))/'Accretion'!K9-1</x:f>
        <x:v>0.016617576737330886</x:v>
      </x:c>
      <x:c r="I27" s="33" t="n">
        <x:f>(('Accretion'!K7+SUM('Accretion'!K10:K14)+('Synergies'!K12+'Synergies'!K14)*(1-1)*(1-'Assumptions'!$D$69)-(('Deal'!$D$15*('Assumptions'!$D$90*(1+$D27))*(1+'Assumptions'!$D$95)+'Deal'!$D$26)/(1-I$24*'Assumptions'!$D$96))*(I$24*'Assumptions'!$D$94+'Assumptions'!$D$92*'Assumptions'!$D$82+I$24*'Assumptions'!$D$96/'Assumptions'!$D$97)*(1-'Assumptions'!$D$69))/('Accretion'!K8+(('Deal'!$D$15*('Assumptions'!$D$90*(1+$D27))*(1+'Assumptions'!$D$95)+'Deal'!$D$26)/(1-I$24*'Assumptions'!$D$96))*(1-I$24-'Assumptions'!$D$92)/'Assumptions'!$D$106))/'Accretion'!K9-1</x:f>
        <x:v>0.01877633817362545</x:v>
      </x:c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0" t="n">
        <x:v>0.3</x:v>
      </x:c>
      <x:c r="E28" s="33" t="n">
        <x:f>(('Accretion'!K7+SUM('Accretion'!K10:K14)+('Synergies'!K12+'Synergies'!K14)*(1-1)*(1-'Assumptions'!$D$69)-(('Deal'!$D$15*('Assumptions'!$D$90*(1+$D28))*(1+'Assumptions'!$D$95)+'Deal'!$D$26)/(1-E$24*'Assumptions'!$D$96))*(E$24*'Assumptions'!$D$94+'Assumptions'!$D$92*'Assumptions'!$D$82+E$24*'Assumptions'!$D$96/'Assumptions'!$D$97)*(1-'Assumptions'!$D$69))/('Accretion'!K8+(('Deal'!$D$15*('Assumptions'!$D$90*(1+$D28))*(1+'Assumptions'!$D$95)+'Deal'!$D$26)/(1-E$24*'Assumptions'!$D$96))*(1-E$24-'Assumptions'!$D$92)/'Assumptions'!$D$106))/'Accretion'!K9-1</x:f>
        <x:v>0.0069535708778805105</x:v>
      </x:c>
      <x:c r="F28" s="33" t="n">
        <x:f>(('Accretion'!K7+SUM('Accretion'!K10:K14)+('Synergies'!K12+'Synergies'!K14)*(1-1)*(1-'Assumptions'!$D$69)-(('Deal'!$D$15*('Assumptions'!$D$90*(1+$D28))*(1+'Assumptions'!$D$95)+'Deal'!$D$26)/(1-F$24*'Assumptions'!$D$96))*(F$24*'Assumptions'!$D$94+'Assumptions'!$D$92*'Assumptions'!$D$82+F$24*'Assumptions'!$D$96/'Assumptions'!$D$97)*(1-'Assumptions'!$D$69))/('Accretion'!K8+(('Deal'!$D$15*('Assumptions'!$D$90*(1+$D28))*(1+'Assumptions'!$D$95)+'Deal'!$D$26)/(1-F$24*'Assumptions'!$D$96))*(1-F$24-'Assumptions'!$D$92)/'Assumptions'!$D$106))/'Accretion'!K9-1</x:f>
        <x:v>0.009116068291610269</x:v>
      </x:c>
      <x:c r="G28" s="33" t="n">
        <x:f>(('Accretion'!K7+SUM('Accretion'!K10:K14)+('Synergies'!K12+'Synergies'!K14)*(1-1)*(1-'Assumptions'!$D$69)-(('Deal'!$D$15*('Assumptions'!$D$90*(1+$D28))*(1+'Assumptions'!$D$95)+'Deal'!$D$26)/(1-G$24*'Assumptions'!$D$96))*(G$24*'Assumptions'!$D$94+'Assumptions'!$D$92*'Assumptions'!$D$82+G$24*'Assumptions'!$D$96/'Assumptions'!$D$97)*(1-'Assumptions'!$D$69))/('Accretion'!K8+(('Deal'!$D$15*('Assumptions'!$D$90*(1+$D28))*(1+'Assumptions'!$D$95)+'Deal'!$D$26)/(1-G$24*'Assumptions'!$D$96))*(1-G$24-'Assumptions'!$D$92)/'Assumptions'!$D$106))/'Accretion'!K9-1</x:f>
        <x:v>0.01132473345457008</x:v>
      </x:c>
      <x:c r="H28" s="33" t="n">
        <x:f>(('Accretion'!K7+SUM('Accretion'!K10:K14)+('Synergies'!K12+'Synergies'!K14)*(1-1)*(1-'Assumptions'!$D$69)-(('Deal'!$D$15*('Assumptions'!$D$90*(1+$D28))*(1+'Assumptions'!$D$95)+'Deal'!$D$26)/(1-H$24*'Assumptions'!$D$96))*(H$24*'Assumptions'!$D$94+'Assumptions'!$D$92*'Assumptions'!$D$82+H$24*'Assumptions'!$D$96/'Assumptions'!$D$97)*(1-'Assumptions'!$D$69))/('Accretion'!K8+(('Deal'!$D$15*('Assumptions'!$D$90*(1+$D28))*(1+'Assumptions'!$D$95)+'Deal'!$D$26)/(1-H$24*'Assumptions'!$D$96))*(1-H$24-'Assumptions'!$D$92)/'Assumptions'!$D$106))/'Accretion'!K9-1</x:f>
        <x:v>0.013581060791069799</x:v>
      </x:c>
      <x:c r="I28" s="33" t="n">
        <x:f>(('Accretion'!K7+SUM('Accretion'!K10:K14)+('Synergies'!K12+'Synergies'!K14)*(1-1)*(1-'Assumptions'!$D$69)-(('Deal'!$D$15*('Assumptions'!$D$90*(1+$D28))*(1+'Assumptions'!$D$95)+'Deal'!$D$26)/(1-I$24*'Assumptions'!$D$96))*(I$24*'Assumptions'!$D$94+'Assumptions'!$D$92*'Assumptions'!$D$82+I$24*'Assumptions'!$D$96/'Assumptions'!$D$97)*(1-'Assumptions'!$D$69))/('Accretion'!K8+(('Deal'!$D$15*('Assumptions'!$D$90*(1+$D28))*(1+'Assumptions'!$D$95)+'Deal'!$D$26)/(1-I$24*'Assumptions'!$D$96))*(1-I$24-'Assumptions'!$D$92)/'Assumptions'!$D$106))/'Accretion'!K9-1</x:f>
        <x:v>0.015886609927177497</x:v>
      </x:c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/>
      <x:c r="D29" s="20" t="n">
        <x:v>0.4</x:v>
      </x:c>
      <x:c r="E29" s="33" t="n">
        <x:f>(('Accretion'!K7+SUM('Accretion'!K10:K14)+('Synergies'!K12+'Synergies'!K14)*(1-1)*(1-'Assumptions'!$D$69)-(('Deal'!$D$15*('Assumptions'!$D$90*(1+$D29))*(1+'Assumptions'!$D$95)+'Deal'!$D$26)/(1-E$24*'Assumptions'!$D$96))*(E$24*'Assumptions'!$D$94+'Assumptions'!$D$92*'Assumptions'!$D$82+E$24*'Assumptions'!$D$96/'Assumptions'!$D$97)*(1-'Assumptions'!$D$69))/('Accretion'!K8+(('Deal'!$D$15*('Assumptions'!$D$90*(1+$D29))*(1+'Assumptions'!$D$95)+'Deal'!$D$26)/(1-E$24*'Assumptions'!$D$96))*(1-E$24-'Assumptions'!$D$92)/'Assumptions'!$D$106))/'Accretion'!K9-1</x:f>
        <x:v>0.003527215547710183</x:v>
      </x:c>
      <x:c r="F29" s="33" t="n">
        <x:f>(('Accretion'!K7+SUM('Accretion'!K10:K14)+('Synergies'!K12+'Synergies'!K14)*(1-1)*(1-'Assumptions'!$D$69)-(('Deal'!$D$15*('Assumptions'!$D$90*(1+$D29))*(1+'Assumptions'!$D$95)+'Deal'!$D$26)/(1-F$24*'Assumptions'!$D$96))*(F$24*'Assumptions'!$D$94+'Assumptions'!$D$92*'Assumptions'!$D$82+F$24*'Assumptions'!$D$96/'Assumptions'!$D$97)*(1-'Assumptions'!$D$69))/('Accretion'!K8+(('Deal'!$D$15*('Assumptions'!$D$90*(1+$D29))*(1+'Assumptions'!$D$95)+'Deal'!$D$26)/(1-F$24*'Assumptions'!$D$96))*(1-F$24-'Assumptions'!$D$92)/'Assumptions'!$D$106))/'Accretion'!K9-1</x:f>
        <x:v>0.005815364372731668</x:v>
      </x:c>
      <x:c r="G29" s="33" t="n">
        <x:f>(('Accretion'!K7+SUM('Accretion'!K10:K14)+('Synergies'!K12+'Synergies'!K14)*(1-1)*(1-'Assumptions'!$D$69)-(('Deal'!$D$15*('Assumptions'!$D$90*(1+$D29))*(1+'Assumptions'!$D$95)+'Deal'!$D$26)/(1-G$24*'Assumptions'!$D$96))*(G$24*'Assumptions'!$D$94+'Assumptions'!$D$92*'Assumptions'!$D$82+G$24*'Assumptions'!$D$96/'Assumptions'!$D$97)*(1-'Assumptions'!$D$69))/('Accretion'!K8+(('Deal'!$D$15*('Assumptions'!$D$90*(1+$D29))*(1+'Assumptions'!$D$95)+'Deal'!$D$26)/(1-G$24*'Assumptions'!$D$96))*(1-G$24-'Assumptions'!$D$92)/'Assumptions'!$D$106))/'Accretion'!K9-1</x:f>
        <x:v>0.008155165420770771</x:v>
      </x:c>
      <x:c r="H29" s="33" t="n">
        <x:f>(('Accretion'!K7+SUM('Accretion'!K10:K14)+('Synergies'!K12+'Synergies'!K14)*(1-1)*(1-'Assumptions'!$D$69)-(('Deal'!$D$15*('Assumptions'!$D$90*(1+$D29))*(1+'Assumptions'!$D$95)+'Deal'!$D$26)/(1-H$24*'Assumptions'!$D$96))*(H$24*'Assumptions'!$D$94+'Assumptions'!$D$92*'Assumptions'!$D$82+H$24*'Assumptions'!$D$96/'Assumptions'!$D$97)*(1-'Assumptions'!$D$69))/('Accretion'!K8+(('Deal'!$D$15*('Assumptions'!$D$90*(1+$D29))*(1+'Assumptions'!$D$95)+'Deal'!$D$26)/(1-H$24*'Assumptions'!$D$96))*(1-H$24-'Assumptions'!$D$92)/'Assumptions'!$D$106))/'Accretion'!K9-1</x:f>
        <x:v>0.010548387638491086</x:v>
      </x:c>
      <x:c r="I29" s="33" t="n">
        <x:f>(('Accretion'!K7+SUM('Accretion'!K10:K14)+('Synergies'!K12+'Synergies'!K14)*(1-1)*(1-'Assumptions'!$D$69)-(('Deal'!$D$15*('Assumptions'!$D$90*(1+$D29))*(1+'Assumptions'!$D$95)+'Deal'!$D$26)/(1-I$24*'Assumptions'!$D$96))*(I$24*'Assumptions'!$D$94+'Assumptions'!$D$92*'Assumptions'!$D$82+I$24*'Assumptions'!$D$96/'Assumptions'!$D$97)*(1-'Assumptions'!$D$69))/('Accretion'!K8+(('Deal'!$D$15*('Assumptions'!$D$90*(1+$D29))*(1+'Assumptions'!$D$95)+'Deal'!$D$26)/(1-I$24*'Assumptions'!$D$96))*(1-I$24-'Assumptions'!$D$92)/'Assumptions'!$D$106))/'Accretion'!K9-1</x:f>
        <x:v>0.012996881680729322</x:v>
      </x:c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4" customHeight="1">
      <x:c r="A32" s="1"/>
      <x:c r="B32" s="1"/>
      <x:c r="C32" s="16" t="str">
        <x:v>FY2028 EPS accretion: offer price / financing rate</x:v>
      </x:c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"/>
      <x:c r="O32" s="1"/>
    </x:row>
    <x:row r="33" ht="21" customHeight="1">
      <x:c r="A33" s="1"/>
      <x:c r="B33" s="1"/>
      <x:c r="C33" s="1"/>
      <x:c r="D33" s="2"/>
      <x:c r="E33" s="20" t="n">
        <x:v>0.04</x:v>
      </x:c>
      <x:c r="F33" s="20" t="n">
        <x:v>0.05</x:v>
      </x:c>
      <x:c r="G33" s="20" t="n">
        <x:v>0.06</x:v>
      </x:c>
      <x:c r="H33" s="20" t="n">
        <x:v>0.07</x:v>
      </x:c>
      <x:c r="I33" s="20" t="n">
        <x:v>0.08</x:v>
      </x:c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13" t="n">
        <x:v>25</x:v>
      </x:c>
      <x:c r="E34" s="33" t="n">
        <x:f>(('Accretion'!K7+SUM('Accretion'!K10:K14)+('Synergies'!K12+'Synergies'!K14)*(1-1)*(1-'Assumptions'!$D$69)-(('Deal'!$D$15*$D34*(1+'Assumptions'!$D$95)+'Deal'!$D$26)/(1-'Assumptions'!$D$93*'Assumptions'!$D$96))*('Assumptions'!$D$93*E$33+'Assumptions'!$D$92*'Assumptions'!$D$82+'Assumptions'!$D$93*'Assumptions'!$D$96/'Assumptions'!$D$97)*(1-'Assumptions'!$D$69))/('Accretion'!K8+(('Deal'!$D$15*$D34*(1+'Assumptions'!$D$95)+'Deal'!$D$26)/(1-'Assumptions'!$D$93*'Assumptions'!$D$96))*(1-'Assumptions'!$D$93-'Assumptions'!$D$92)/'Assumptions'!$D$106))/'Accretion'!K9-1</x:f>
        <x:v>0.03251971082588301</x:v>
      </x:c>
      <x:c r="F34" s="33" t="n">
        <x:f>(('Accretion'!K7+SUM('Accretion'!K10:K14)+('Synergies'!K12+'Synergies'!K14)*(1-1)*(1-'Assumptions'!$D$69)-(('Deal'!$D$15*$D34*(1+'Assumptions'!$D$95)+'Deal'!$D$26)/(1-'Assumptions'!$D$93*'Assumptions'!$D$96))*('Assumptions'!$D$93*F$33+'Assumptions'!$D$92*'Assumptions'!$D$82+'Assumptions'!$D$93*'Assumptions'!$D$96/'Assumptions'!$D$97)*(1-'Assumptions'!$D$69))/('Accretion'!K8+(('Deal'!$D$15*$D34*(1+'Assumptions'!$D$95)+'Deal'!$D$26)/(1-'Assumptions'!$D$93*'Assumptions'!$D$96))*(1-'Assumptions'!$D$93-'Assumptions'!$D$92)/'Assumptions'!$D$106))/'Accretion'!K9-1</x:f>
        <x:v>0.02980957476213142</x:v>
      </x:c>
      <x:c r="G34" s="33" t="n">
        <x:f>(('Accretion'!K7+SUM('Accretion'!K10:K14)+('Synergies'!K12+'Synergies'!K14)*(1-1)*(1-'Assumptions'!$D$69)-(('Deal'!$D$15*$D34*(1+'Assumptions'!$D$95)+'Deal'!$D$26)/(1-'Assumptions'!$D$93*'Assumptions'!$D$96))*('Assumptions'!$D$93*G$33+'Assumptions'!$D$92*'Assumptions'!$D$82+'Assumptions'!$D$93*'Assumptions'!$D$96/'Assumptions'!$D$97)*(1-'Assumptions'!$D$69))/('Accretion'!K8+(('Deal'!$D$15*$D34*(1+'Assumptions'!$D$95)+'Deal'!$D$26)/(1-'Assumptions'!$D$93*'Assumptions'!$D$96))*(1-'Assumptions'!$D$93-'Assumptions'!$D$92)/'Assumptions'!$D$106))/'Accretion'!K9-1</x:f>
        <x:v>0.027099438698380274</x:v>
      </x:c>
      <x:c r="H34" s="33" t="n">
        <x:f>(('Accretion'!K7+SUM('Accretion'!K10:K14)+('Synergies'!K12+'Synergies'!K14)*(1-1)*(1-'Assumptions'!$D$69)-(('Deal'!$D$15*$D34*(1+'Assumptions'!$D$95)+'Deal'!$D$26)/(1-'Assumptions'!$D$93*'Assumptions'!$D$96))*('Assumptions'!$D$93*H$33+'Assumptions'!$D$92*'Assumptions'!$D$82+'Assumptions'!$D$93*'Assumptions'!$D$96/'Assumptions'!$D$97)*(1-'Assumptions'!$D$69))/('Accretion'!K8+(('Deal'!$D$15*$D34*(1+'Assumptions'!$D$95)+'Deal'!$D$26)/(1-'Assumptions'!$D$93*'Assumptions'!$D$96))*(1-'Assumptions'!$D$93-'Assumptions'!$D$92)/'Assumptions'!$D$106))/'Accretion'!K9-1</x:f>
        <x:v>0.024389302634628685</x:v>
      </x:c>
      <x:c r="I34" s="33" t="n">
        <x:f>(('Accretion'!K7+SUM('Accretion'!K10:K14)+('Synergies'!K12+'Synergies'!K14)*(1-1)*(1-'Assumptions'!$D$69)-(('Deal'!$D$15*$D34*(1+'Assumptions'!$D$95)+'Deal'!$D$26)/(1-'Assumptions'!$D$93*'Assumptions'!$D$96))*('Assumptions'!$D$93*I$33+'Assumptions'!$D$92*'Assumptions'!$D$82+'Assumptions'!$D$93*'Assumptions'!$D$96/'Assumptions'!$D$97)*(1-'Assumptions'!$D$69))/('Accretion'!K8+(('Deal'!$D$15*$D34*(1+'Assumptions'!$D$95)+'Deal'!$D$26)/(1-'Assumptions'!$D$93*'Assumptions'!$D$96))*(1-'Assumptions'!$D$93-'Assumptions'!$D$92)/'Assumptions'!$D$106))/'Accretion'!K9-1</x:f>
        <x:v>0.02167916657087754</x:v>
      </x:c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13" t="n">
        <x:v>30</x:v>
      </x:c>
      <x:c r="E35" s="33" t="n">
        <x:f>(('Accretion'!K7+SUM('Accretion'!K10:K14)+('Synergies'!K12+'Synergies'!K14)*(1-1)*(1-'Assumptions'!$D$69)-(('Deal'!$D$15*$D35*(1+'Assumptions'!$D$95)+'Deal'!$D$26)/(1-'Assumptions'!$D$93*'Assumptions'!$D$96))*('Assumptions'!$D$93*E$33+'Assumptions'!$D$92*'Assumptions'!$D$82+'Assumptions'!$D$93*'Assumptions'!$D$96/'Assumptions'!$D$97)*(1-'Assumptions'!$D$69))/('Accretion'!K8+(('Deal'!$D$15*$D35*(1+'Assumptions'!$D$95)+'Deal'!$D$26)/(1-'Assumptions'!$D$93*'Assumptions'!$D$96))*(1-'Assumptions'!$D$93-'Assumptions'!$D$92)/'Assumptions'!$D$106))/'Accretion'!K9-1</x:f>
        <x:v>0.0283452850818684</x:v>
      </x:c>
      <x:c r="F35" s="33" t="n">
        <x:f>(('Accretion'!K7+SUM('Accretion'!K10:K14)+('Synergies'!K12+'Synergies'!K14)*(1-1)*(1-'Assumptions'!$D$69)-(('Deal'!$D$15*$D35*(1+'Assumptions'!$D$95)+'Deal'!$D$26)/(1-'Assumptions'!$D$93*'Assumptions'!$D$96))*('Assumptions'!$D$93*F$33+'Assumptions'!$D$92*'Assumptions'!$D$82+'Assumptions'!$D$93*'Assumptions'!$D$96/'Assumptions'!$D$97)*(1-'Assumptions'!$D$69))/('Accretion'!K8+(('Deal'!$D$15*$D35*(1+'Assumptions'!$D$95)+'Deal'!$D$26)/(1-'Assumptions'!$D$93*'Assumptions'!$D$96))*(1-'Assumptions'!$D$93-'Assumptions'!$D$92)/'Assumptions'!$D$106))/'Accretion'!K9-1</x:f>
        <x:v>0.025128499943985805</x:v>
      </x:c>
      <x:c r="G35" s="33" t="n">
        <x:f>(('Accretion'!K7+SUM('Accretion'!K10:K14)+('Synergies'!K12+'Synergies'!K14)*(1-1)*(1-'Assumptions'!$D$69)-(('Deal'!$D$15*$D35*(1+'Assumptions'!$D$95)+'Deal'!$D$26)/(1-'Assumptions'!$D$93*'Assumptions'!$D$96))*('Assumptions'!$D$93*G$33+'Assumptions'!$D$92*'Assumptions'!$D$82+'Assumptions'!$D$93*'Assumptions'!$D$96/'Assumptions'!$D$97)*(1-'Assumptions'!$D$69))/('Accretion'!K8+(('Deal'!$D$15*$D35*(1+'Assumptions'!$D$95)+'Deal'!$D$26)/(1-'Assumptions'!$D$93*'Assumptions'!$D$96))*(1-'Assumptions'!$D$93-'Assumptions'!$D$92)/'Assumptions'!$D$106))/'Accretion'!K9-1</x:f>
        <x:v>0.021911714806103655</x:v>
      </x:c>
      <x:c r="H35" s="33" t="n">
        <x:f>(('Accretion'!K7+SUM('Accretion'!K10:K14)+('Synergies'!K12+'Synergies'!K14)*(1-1)*(1-'Assumptions'!$D$69)-(('Deal'!$D$15*$D35*(1+'Assumptions'!$D$95)+'Deal'!$D$26)/(1-'Assumptions'!$D$93*'Assumptions'!$D$96))*('Assumptions'!$D$93*H$33+'Assumptions'!$D$92*'Assumptions'!$D$82+'Assumptions'!$D$93*'Assumptions'!$D$96/'Assumptions'!$D$97)*(1-'Assumptions'!$D$69))/('Accretion'!K8+(('Deal'!$D$15*$D35*(1+'Assumptions'!$D$95)+'Deal'!$D$26)/(1-'Assumptions'!$D$93*'Assumptions'!$D$96))*(1-'Assumptions'!$D$93-'Assumptions'!$D$92)/'Assumptions'!$D$106))/'Accretion'!K9-1</x:f>
        <x:v>0.018694929668221283</x:v>
      </x:c>
      <x:c r="I35" s="33" t="n">
        <x:f>(('Accretion'!K7+SUM('Accretion'!K10:K14)+('Synergies'!K12+'Synergies'!K14)*(1-1)*(1-'Assumptions'!$D$69)-(('Deal'!$D$15*$D35*(1+'Assumptions'!$D$95)+'Deal'!$D$26)/(1-'Assumptions'!$D$93*'Assumptions'!$D$96))*('Assumptions'!$D$93*I$33+'Assumptions'!$D$92*'Assumptions'!$D$82+'Assumptions'!$D$93*'Assumptions'!$D$96/'Assumptions'!$D$97)*(1-'Assumptions'!$D$69))/('Accretion'!K8+(('Deal'!$D$15*$D35*(1+'Assumptions'!$D$95)+'Deal'!$D$26)/(1-'Assumptions'!$D$93*'Assumptions'!$D$96))*(1-'Assumptions'!$D$93-'Assumptions'!$D$92)/'Assumptions'!$D$106))/'Accretion'!K9-1</x:f>
        <x:v>0.015478144530339133</x:v>
      </x:c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13" t="n">
        <x:v>35</x:v>
      </x:c>
      <x:c r="E36" s="33" t="n">
        <x:f>(('Accretion'!K7+SUM('Accretion'!K10:K14)+('Synergies'!K12+'Synergies'!K14)*(1-1)*(1-'Assumptions'!$D$69)-(('Deal'!$D$15*$D36*(1+'Assumptions'!$D$95)+'Deal'!$D$26)/(1-'Assumptions'!$D$93*'Assumptions'!$D$96))*('Assumptions'!$D$93*E$33+'Assumptions'!$D$92*'Assumptions'!$D$82+'Assumptions'!$D$93*'Assumptions'!$D$96/'Assumptions'!$D$97)*(1-'Assumptions'!$D$69))/('Accretion'!K8+(('Deal'!$D$15*$D36*(1+'Assumptions'!$D$95)+'Deal'!$D$26)/(1-'Assumptions'!$D$93*'Assumptions'!$D$96))*(1-'Assumptions'!$D$93-'Assumptions'!$D$92)/'Assumptions'!$D$106))/'Accretion'!K9-1</x:f>
        <x:v>0.024182042282814287</x:v>
      </x:c>
      <x:c r="F36" s="33" t="n">
        <x:f>(('Accretion'!K7+SUM('Accretion'!K10:K14)+('Synergies'!K12+'Synergies'!K14)*(1-1)*(1-'Assumptions'!$D$69)-(('Deal'!$D$15*$D36*(1+'Assumptions'!$D$95)+'Deal'!$D$26)/(1-'Assumptions'!$D$93*'Assumptions'!$D$96))*('Assumptions'!$D$93*F$33+'Assumptions'!$D$92*'Assumptions'!$D$82+'Assumptions'!$D$93*'Assumptions'!$D$96/'Assumptions'!$D$97)*(1-'Assumptions'!$D$69))/('Accretion'!K8+(('Deal'!$D$15*$D36*(1+'Assumptions'!$D$95)+'Deal'!$D$26)/(1-'Assumptions'!$D$93*'Assumptions'!$D$96))*(1-'Assumptions'!$D$93-'Assumptions'!$D$92)/'Assumptions'!$D$106))/'Accretion'!K9-1</x:f>
        <x:v>0.02045996534220973</x:v>
      </x:c>
      <x:c r="G36" s="33" t="n">
        <x:f>(('Accretion'!K7+SUM('Accretion'!K10:K14)+('Synergies'!K12+'Synergies'!K14)*(1-1)*(1-'Assumptions'!$D$69)-(('Deal'!$D$15*$D36*(1+'Assumptions'!$D$95)+'Deal'!$D$26)/(1-'Assumptions'!$D$93*'Assumptions'!$D$96))*('Assumptions'!$D$93*G$33+'Assumptions'!$D$92*'Assumptions'!$D$82+'Assumptions'!$D$93*'Assumptions'!$D$96/'Assumptions'!$D$97)*(1-'Assumptions'!$D$69))/('Accretion'!K8+(('Deal'!$D$15*$D36*(1+'Assumptions'!$D$95)+'Deal'!$D$26)/(1-'Assumptions'!$D$93*'Assumptions'!$D$96))*(1-'Assumptions'!$D$93-'Assumptions'!$D$92)/'Assumptions'!$D$106))/'Accretion'!K9-1</x:f>
        <x:v>0.016737888401605172</x:v>
      </x:c>
      <x:c r="H36" s="33" t="n">
        <x:f>(('Accretion'!K7+SUM('Accretion'!K10:K14)+('Synergies'!K12+'Synergies'!K14)*(1-1)*(1-'Assumptions'!$D$69)-(('Deal'!$D$15*$D36*(1+'Assumptions'!$D$95)+'Deal'!$D$26)/(1-'Assumptions'!$D$93*'Assumptions'!$D$96))*('Assumptions'!$D$93*H$33+'Assumptions'!$D$92*'Assumptions'!$D$82+'Assumptions'!$D$93*'Assumptions'!$D$96/'Assumptions'!$D$97)*(1-'Assumptions'!$D$69))/('Accretion'!K8+(('Deal'!$D$15*$D36*(1+'Assumptions'!$D$95)+'Deal'!$D$26)/(1-'Assumptions'!$D$93*'Assumptions'!$D$96))*(1-'Assumptions'!$D$93-'Assumptions'!$D$92)/'Assumptions'!$D$106))/'Accretion'!K9-1</x:f>
        <x:v>0.013015811461000837</x:v>
      </x:c>
      <x:c r="I36" s="33" t="n">
        <x:f>(('Accretion'!K7+SUM('Accretion'!K10:K14)+('Synergies'!K12+'Synergies'!K14)*(1-1)*(1-'Assumptions'!$D$69)-(('Deal'!$D$15*$D36*(1+'Assumptions'!$D$95)+'Deal'!$D$26)/(1-'Assumptions'!$D$93*'Assumptions'!$D$96))*('Assumptions'!$D$93*I$33+'Assumptions'!$D$92*'Assumptions'!$D$82+'Assumptions'!$D$93*'Assumptions'!$D$96/'Assumptions'!$D$97)*(1-'Assumptions'!$D$69))/('Accretion'!K8+(('Deal'!$D$15*$D36*(1+'Assumptions'!$D$95)+'Deal'!$D$26)/(1-'Assumptions'!$D$93*'Assumptions'!$D$96))*(1-'Assumptions'!$D$93-'Assumptions'!$D$92)/'Assumptions'!$D$106))/'Accretion'!K9-1</x:f>
        <x:v>0.009293734520396502</x:v>
      </x:c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13" t="n">
        <x:v>40</x:v>
      </x:c>
      <x:c r="E37" s="33" t="n">
        <x:f>(('Accretion'!K7+SUM('Accretion'!K10:K14)+('Synergies'!K12+'Synergies'!K14)*(1-1)*(1-'Assumptions'!$D$69)-(('Deal'!$D$15*$D37*(1+'Assumptions'!$D$95)+'Deal'!$D$26)/(1-'Assumptions'!$D$93*'Assumptions'!$D$96))*('Assumptions'!$D$93*E$33+'Assumptions'!$D$92*'Assumptions'!$D$82+'Assumptions'!$D$93*'Assumptions'!$D$96/'Assumptions'!$D$97)*(1-'Assumptions'!$D$69))/('Accretion'!K8+(('Deal'!$D$15*$D37*(1+'Assumptions'!$D$95)+'Deal'!$D$26)/(1-'Assumptions'!$D$93*'Assumptions'!$D$96))*(1-'Assumptions'!$D$93-'Assumptions'!$D$92)/'Assumptions'!$D$106))/'Accretion'!K9-1</x:f>
        <x:v>0.020029937551540034</x:v>
      </x:c>
      <x:c r="F37" s="33" t="n">
        <x:f>(('Accretion'!K7+SUM('Accretion'!K10:K14)+('Synergies'!K12+'Synergies'!K14)*(1-1)*(1-'Assumptions'!$D$69)-(('Deal'!$D$15*$D37*(1+'Assumptions'!$D$95)+'Deal'!$D$26)/(1-'Assumptions'!$D$93*'Assumptions'!$D$96))*('Assumptions'!$D$93*F$33+'Assumptions'!$D$92*'Assumptions'!$D$82+'Assumptions'!$D$93*'Assumptions'!$D$96/'Assumptions'!$D$97)*(1-'Assumptions'!$D$69))/('Accretion'!K8+(('Deal'!$D$15*$D37*(1+'Assumptions'!$D$95)+'Deal'!$D$26)/(1-'Assumptions'!$D$93*'Assumptions'!$D$96))*(1-'Assumptions'!$D$93-'Assumptions'!$D$92)/'Assumptions'!$D$106))/'Accretion'!K9-1</x:f>
        <x:v>0.01580392063288949</x:v>
      </x:c>
      <x:c r="G37" s="33" t="n">
        <x:f>(('Accretion'!K7+SUM('Accretion'!K10:K14)+('Synergies'!K12+'Synergies'!K14)*(1-1)*(1-'Assumptions'!$D$69)-(('Deal'!$D$15*$D37*(1+'Assumptions'!$D$95)+'Deal'!$D$26)/(1-'Assumptions'!$D$93*'Assumptions'!$D$96))*('Assumptions'!$D$93*G$33+'Assumptions'!$D$92*'Assumptions'!$D$82+'Assumptions'!$D$93*'Assumptions'!$D$96/'Assumptions'!$D$97)*(1-'Assumptions'!$D$69))/('Accretion'!K8+(('Deal'!$D$15*$D37*(1+'Assumptions'!$D$95)+'Deal'!$D$26)/(1-'Assumptions'!$D$93*'Assumptions'!$D$96))*(1-'Assumptions'!$D$93-'Assumptions'!$D$92)/'Assumptions'!$D$106))/'Accretion'!K9-1</x:f>
        <x:v>0.011577903714238724</x:v>
      </x:c>
      <x:c r="H37" s="33" t="n">
        <x:f>(('Accretion'!K7+SUM('Accretion'!K10:K14)+('Synergies'!K12+'Synergies'!K14)*(1-1)*(1-'Assumptions'!$D$69)-(('Deal'!$D$15*$D37*(1+'Assumptions'!$D$95)+'Deal'!$D$26)/(1-'Assumptions'!$D$93*'Assumptions'!$D$96))*('Assumptions'!$D$93*H$33+'Assumptions'!$D$92*'Assumptions'!$D$82+'Assumptions'!$D$93*'Assumptions'!$D$96/'Assumptions'!$D$97)*(1-'Assumptions'!$D$69))/('Accretion'!K8+(('Deal'!$D$15*$D37*(1+'Assumptions'!$D$95)+'Deal'!$D$26)/(1-'Assumptions'!$D$93*'Assumptions'!$D$96))*(1-'Assumptions'!$D$93-'Assumptions'!$D$92)/'Assumptions'!$D$106))/'Accretion'!K9-1</x:f>
        <x:v>0.0073518867955879585</x:v>
      </x:c>
      <x:c r="I37" s="33" t="n">
        <x:f>(('Accretion'!K7+SUM('Accretion'!K10:K14)+('Synergies'!K12+'Synergies'!K14)*(1-1)*(1-'Assumptions'!$D$69)-(('Deal'!$D$15*$D37*(1+'Assumptions'!$D$95)+'Deal'!$D$26)/(1-'Assumptions'!$D$93*'Assumptions'!$D$96))*('Assumptions'!$D$93*I$33+'Assumptions'!$D$92*'Assumptions'!$D$82+'Assumptions'!$D$93*'Assumptions'!$D$96/'Assumptions'!$D$97)*(1-'Assumptions'!$D$69))/('Accretion'!K8+(('Deal'!$D$15*$D37*(1+'Assumptions'!$D$95)+'Deal'!$D$26)/(1-'Assumptions'!$D$93*'Assumptions'!$D$96))*(1-'Assumptions'!$D$93-'Assumptions'!$D$92)/'Assumptions'!$D$106))/'Accretion'!K9-1</x:f>
        <x:v>0.003125869876937415</x:v>
      </x:c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13" t="n">
        <x:v>45</x:v>
      </x:c>
      <x:c r="E38" s="33" t="n">
        <x:f>(('Accretion'!K7+SUM('Accretion'!K10:K14)+('Synergies'!K12+'Synergies'!K14)*(1-1)*(1-'Assumptions'!$D$69)-(('Deal'!$D$15*$D38*(1+'Assumptions'!$D$95)+'Deal'!$D$26)/(1-'Assumptions'!$D$93*'Assumptions'!$D$96))*('Assumptions'!$D$93*E$33+'Assumptions'!$D$92*'Assumptions'!$D$82+'Assumptions'!$D$93*'Assumptions'!$D$96/'Assumptions'!$D$97)*(1-'Assumptions'!$D$69))/('Accretion'!K8+(('Deal'!$D$15*$D38*(1+'Assumptions'!$D$95)+'Deal'!$D$26)/(1-'Assumptions'!$D$93*'Assumptions'!$D$96))*(1-'Assumptions'!$D$93-'Assumptions'!$D$92)/'Assumptions'!$D$106))/'Accretion'!K9-1</x:f>
        <x:v>0.015888926250668067</x:v>
      </x:c>
      <x:c r="F38" s="33" t="n">
        <x:f>(('Accretion'!K7+SUM('Accretion'!K10:K14)+('Synergies'!K12+'Synergies'!K14)*(1-1)*(1-'Assumptions'!$D$69)-(('Deal'!$D$15*$D38*(1+'Assumptions'!$D$95)+'Deal'!$D$26)/(1-'Assumptions'!$D$93*'Assumptions'!$D$96))*('Assumptions'!$D$93*F$33+'Assumptions'!$D$92*'Assumptions'!$D$82+'Assumptions'!$D$93*'Assumptions'!$D$96/'Assumptions'!$D$97)*(1-'Assumptions'!$D$69))/('Accretion'!K8+(('Deal'!$D$15*$D38*(1+'Assumptions'!$D$95)+'Deal'!$D$26)/(1-'Assumptions'!$D$93*'Assumptions'!$D$96))*(1-'Assumptions'!$D$93-'Assumptions'!$D$92)/'Assumptions'!$D$106))/'Accretion'!K9-1</x:f>
        <x:v>0.011160315761018724</x:v>
      </x:c>
      <x:c r="G38" s="33" t="n">
        <x:f>(('Accretion'!K7+SUM('Accretion'!K10:K14)+('Synergies'!K12+'Synergies'!K14)*(1-1)*(1-'Assumptions'!$D$69)-(('Deal'!$D$15*$D38*(1+'Assumptions'!$D$95)+'Deal'!$D$26)/(1-'Assumptions'!$D$93*'Assumptions'!$D$96))*('Assumptions'!$D$93*G$33+'Assumptions'!$D$92*'Assumptions'!$D$82+'Assumptions'!$D$93*'Assumptions'!$D$96/'Assumptions'!$D$97)*(1-'Assumptions'!$D$69))/('Accretion'!K8+(('Deal'!$D$15*$D38*(1+'Assumptions'!$D$95)+'Deal'!$D$26)/(1-'Assumptions'!$D$93*'Assumptions'!$D$96))*(1-'Assumptions'!$D$93-'Assumptions'!$D$92)/'Assumptions'!$D$106))/'Accretion'!K9-1</x:f>
        <x:v>0.006431705271369603</x:v>
      </x:c>
      <x:c r="H38" s="33" t="n">
        <x:f>(('Accretion'!K7+SUM('Accretion'!K10:K14)+('Synergies'!K12+'Synergies'!K14)*(1-1)*(1-'Assumptions'!$D$69)-(('Deal'!$D$15*$D38*(1+'Assumptions'!$D$95)+'Deal'!$D$26)/(1-'Assumptions'!$D$93*'Assumptions'!$D$96))*('Assumptions'!$D$93*H$33+'Assumptions'!$D$92*'Assumptions'!$D$82+'Assumptions'!$D$93*'Assumptions'!$D$96/'Assumptions'!$D$97)*(1-'Assumptions'!$D$69))/('Accretion'!K8+(('Deal'!$D$15*$D38*(1+'Assumptions'!$D$95)+'Deal'!$D$26)/(1-'Assumptions'!$D$93*'Assumptions'!$D$96))*(1-'Assumptions'!$D$93-'Assumptions'!$D$92)/'Assumptions'!$D$106))/'Accretion'!K9-1</x:f>
        <x:v>0.0017030947817204822</x:v>
      </x:c>
      <x:c r="I38" s="33" t="n">
        <x:f>(('Accretion'!K7+SUM('Accretion'!K10:K14)+('Synergies'!K12+'Synergies'!K14)*(1-1)*(1-'Assumptions'!$D$69)-(('Deal'!$D$15*$D38*(1+'Assumptions'!$D$95)+'Deal'!$D$26)/(1-'Assumptions'!$D$93*'Assumptions'!$D$96))*('Assumptions'!$D$93*I$33+'Assumptions'!$D$92*'Assumptions'!$D$82+'Assumptions'!$D$93*'Assumptions'!$D$96/'Assumptions'!$D$97)*(1-'Assumptions'!$D$69))/('Accretion'!K8+(('Deal'!$D$15*$D38*(1+'Assumptions'!$D$95)+'Deal'!$D$26)/(1-'Assumptions'!$D$93*'Assumptions'!$D$96))*(1-'Assumptions'!$D$93-'Assumptions'!$D$92)/'Assumptions'!$D$106))/'Accretion'!K9-1</x:f>
        <x:v>-0.003025515707928861</x:v>
      </x:c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4" customHeight="1">
      <x:c r="A41" s="1"/>
      <x:c r="B41" s="1"/>
      <x:c r="C41" s="16" t="str">
        <x:v>FY2028 EPS accretion: weaker target EBIT / delay years</x:v>
      </x:c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"/>
      <x:c r="O41" s="1"/>
    </x:row>
    <x:row r="42" ht="21" customHeight="1">
      <x:c r="A42" s="1"/>
      <x:c r="B42" s="1"/>
      <x:c r="C42" s="1"/>
      <x:c r="D42" s="2"/>
      <x:c r="E42" s="11" t="n">
        <x:v>0</x:v>
      </x:c>
      <x:c r="F42" s="11" t="n">
        <x:v>0.5</x:v>
      </x:c>
      <x:c r="G42" s="11" t="n">
        <x:v>1</x:v>
      </x:c>
      <x:c r="H42" s="11" t="n">
        <x:v>1.5</x:v>
      </x:c>
      <x:c r="I42" s="11" t="n">
        <x:v>2</x:v>
      </x:c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0" t="n">
        <x:v>0</x:v>
      </x:c>
      <x:c r="E43" s="33" t="n">
        <x:f>('Accretion'!K21-'Operations'!K20*$D43*(1-'Assumptions'!$D$69)-('Synergies'!K12+'Synergies'!K14)*MIN(1,E$42/2)*(1-'Assumptions'!$D$69))/'Accretion'!K23/'Accretion'!K9-1</x:f>
        <x:v>0.014364985448881207</x:v>
      </x:c>
      <x:c r="F43" s="33" t="n">
        <x:f>('Accretion'!K21-'Operations'!K20*$D43*(1-'Assumptions'!$D$69)-('Synergies'!K12+'Synergies'!K14)*MIN(1,F$42/2)*(1-'Assumptions'!$D$69))/'Accretion'!K23/'Accretion'!K9-1</x:f>
        <x:v>0.013707189861326796</x:v>
      </x:c>
      <x:c r="G43" s="33" t="n">
        <x:f>('Accretion'!K21-'Operations'!K20*$D43*(1-'Assumptions'!$D$69)-('Synergies'!K12+'Synergies'!K14)*MIN(1,G$42/2)*(1-'Assumptions'!$D$69))/'Accretion'!K23/'Accretion'!K9-1</x:f>
        <x:v>0.013049394273772386</x:v>
      </x:c>
      <x:c r="H43" s="33" t="n">
        <x:f>('Accretion'!K21-'Operations'!K20*$D43*(1-'Assumptions'!$D$69)-('Synergies'!K12+'Synergies'!K14)*MIN(1,H$42/2)*(1-'Assumptions'!$D$69))/'Accretion'!K23/'Accretion'!K9-1</x:f>
        <x:v>0.012391598686217753</x:v>
      </x:c>
      <x:c r="I43" s="33" t="n">
        <x:f>('Accretion'!K21-'Operations'!K20*$D43*(1-'Assumptions'!$D$69)-('Synergies'!K12+'Synergies'!K14)*MIN(1,I$42/2)*(1-'Assumptions'!$D$69))/'Accretion'!K23/'Accretion'!K9-1</x:f>
        <x:v>0.011733803098663342</x:v>
      </x:c>
      <x:c r="J43" s="2"/>
      <x:c r="K43" s="2"/>
      <x:c r="L43" s="2"/>
      <x:c r="M43" s="2"/>
      <x:c r="N43" s="1"/>
      <x:c r="O43" s="12" t="str">
        <x:v>Incremental stresses on active case; fixed financing and costs. EBIT stress captures weaker operations without assuming invented volume.</x:v>
      </x:c>
    </x:row>
    <x:row r="44" ht="21" customHeight="1">
      <x:c r="A44" s="1"/>
      <x:c r="B44" s="1"/>
      <x:c r="C44" s="1"/>
      <x:c r="D44" s="20" t="n">
        <x:v>0.05</x:v>
      </x:c>
      <x:c r="E44" s="33" t="n">
        <x:f>('Accretion'!K21-'Operations'!K20*$D44*(1-'Assumptions'!$D$69)-('Synergies'!K12+'Synergies'!K14)*MIN(1,E$42/2)*(1-'Assumptions'!$D$69))/'Accretion'!K23/'Accretion'!K9-1</x:f>
        <x:v>0.01134908856211081</x:v>
      </x:c>
      <x:c r="F44" s="33" t="n">
        <x:f>('Accretion'!K21-'Operations'!K20*$D44*(1-'Assumptions'!$D$69)-('Synergies'!K12+'Synergies'!K14)*MIN(1,F$42/2)*(1-'Assumptions'!$D$69))/'Accretion'!K23/'Accretion'!K9-1</x:f>
        <x:v>0.010691292974556399</x:v>
      </x:c>
      <x:c r="G44" s="33" t="n">
        <x:f>('Accretion'!K21-'Operations'!K20*$D44*(1-'Assumptions'!$D$69)-('Synergies'!K12+'Synergies'!K14)*MIN(1,G$42/2)*(1-'Assumptions'!$D$69))/'Accretion'!K23/'Accretion'!K9-1</x:f>
        <x:v>0.010033497387001766</x:v>
      </x:c>
      <x:c r="H44" s="33" t="n">
        <x:f>('Accretion'!K21-'Operations'!K20*$D44*(1-'Assumptions'!$D$69)-('Synergies'!K12+'Synergies'!K14)*MIN(1,H$42/2)*(1-'Assumptions'!$D$69))/'Accretion'!K23/'Accretion'!K9-1</x:f>
        <x:v>0.009375701799447578</x:v>
      </x:c>
      <x:c r="I44" s="33" t="n">
        <x:f>('Accretion'!K21-'Operations'!K20*$D44*(1-'Assumptions'!$D$69)-('Synergies'!K12+'Synergies'!K14)*MIN(1,I$42/2)*(1-'Assumptions'!$D$69))/'Accretion'!K23/'Accretion'!K9-1</x:f>
        <x:v>0.008717906211893167</x:v>
      </x:c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0" t="n">
        <x:v>0.1</x:v>
      </x:c>
      <x:c r="E45" s="33" t="n">
        <x:f>('Accretion'!K21-'Operations'!K20*$D45*(1-'Assumptions'!$D$69)-('Synergies'!K12+'Synergies'!K14)*MIN(1,E$42/2)*(1-'Assumptions'!$D$69))/'Accretion'!K23/'Accretion'!K9-1</x:f>
        <x:v>0.008333191675340412</x:v>
      </x:c>
      <x:c r="F45" s="33" t="n">
        <x:f>('Accretion'!K21-'Operations'!K20*$D45*(1-'Assumptions'!$D$69)-('Synergies'!K12+'Synergies'!K14)*MIN(1,F$42/2)*(1-'Assumptions'!$D$69))/'Accretion'!K23/'Accretion'!K9-1</x:f>
        <x:v>0.00767539608778578</x:v>
      </x:c>
      <x:c r="G45" s="33" t="n">
        <x:f>('Accretion'!K21-'Operations'!K20*$D45*(1-'Assumptions'!$D$69)-('Synergies'!K12+'Synergies'!K14)*MIN(1,G$42/2)*(1-'Assumptions'!$D$69))/'Accretion'!K23/'Accretion'!K9-1</x:f>
        <x:v>0.007017600500231369</x:v>
      </x:c>
      <x:c r="H45" s="33" t="n">
        <x:f>('Accretion'!K21-'Operations'!K20*$D45*(1-'Assumptions'!$D$69)-('Synergies'!K12+'Synergies'!K14)*MIN(1,H$42/2)*(1-'Assumptions'!$D$69))/'Accretion'!K23/'Accretion'!K9-1</x:f>
        <x:v>0.0063598049126771805</x:v>
      </x:c>
      <x:c r="I45" s="33" t="n">
        <x:f>('Accretion'!K21-'Operations'!K20*$D45*(1-'Assumptions'!$D$69)-('Synergies'!K12+'Synergies'!K14)*MIN(1,I$42/2)*(1-'Assumptions'!$D$69))/'Accretion'!K23/'Accretion'!K9-1</x:f>
        <x:v>0.005702009325122548</x:v>
      </x:c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0" t="n">
        <x:v>0.15</x:v>
      </x:c>
      <x:c r="E46" s="33" t="n">
        <x:f>('Accretion'!K21-'Operations'!K20*$D46*(1-'Assumptions'!$D$69)-('Synergies'!K12+'Synergies'!K14)*MIN(1,E$42/2)*(1-'Assumptions'!$D$69))/'Accretion'!K23/'Accretion'!K9-1</x:f>
        <x:v>0.005317294788570237</x:v>
      </x:c>
      <x:c r="F46" s="33" t="n">
        <x:f>('Accretion'!K21-'Operations'!K20*$D46*(1-'Assumptions'!$D$69)-('Synergies'!K12+'Synergies'!K14)*MIN(1,F$42/2)*(1-'Assumptions'!$D$69))/'Accretion'!K23/'Accretion'!K9-1</x:f>
        <x:v>0.0046594992010156044</x:v>
      </x:c>
      <x:c r="G46" s="33" t="n">
        <x:f>('Accretion'!K21-'Operations'!K20*$D46*(1-'Assumptions'!$D$69)-('Synergies'!K12+'Synergies'!K14)*MIN(1,G$42/2)*(1-'Assumptions'!$D$69))/'Accretion'!K23/'Accretion'!K9-1</x:f>
        <x:v>0.004001703613461194</x:v>
      </x:c>
      <x:c r="H46" s="33" t="n">
        <x:f>('Accretion'!K21-'Operations'!K20*$D46*(1-'Assumptions'!$D$69)-('Synergies'!K12+'Synergies'!K14)*MIN(1,H$42/2)*(1-'Assumptions'!$D$69))/'Accretion'!K23/'Accretion'!K9-1</x:f>
        <x:v>0.0033439080259065612</x:v>
      </x:c>
      <x:c r="I46" s="33" t="n">
        <x:f>('Accretion'!K21-'Operations'!K20*$D46*(1-'Assumptions'!$D$69)-('Synergies'!K12+'Synergies'!K14)*MIN(1,I$42/2)*(1-'Assumptions'!$D$69))/'Accretion'!K23/'Accretion'!K9-1</x:f>
        <x:v>0.0026861124383521506</x:v>
      </x:c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0" t="n">
        <x:v>0.2</x:v>
      </x:c>
      <x:c r="E47" s="33" t="n">
        <x:f>('Accretion'!K21-'Operations'!K20*$D47*(1-'Assumptions'!$D$69)-('Synergies'!K12+'Synergies'!K14)*MIN(1,E$42/2)*(1-'Assumptions'!$D$69))/'Accretion'!K23/'Accretion'!K9-1</x:f>
        <x:v>0.002301397901799618</x:v>
      </x:c>
      <x:c r="F47" s="33" t="n">
        <x:f>('Accretion'!K21-'Operations'!K20*$D47*(1-'Assumptions'!$D$69)-('Synergies'!K12+'Synergies'!K14)*MIN(1,F$42/2)*(1-'Assumptions'!$D$69))/'Accretion'!K23/'Accretion'!K9-1</x:f>
        <x:v>0.0016436023142454292</x:v>
      </x:c>
      <x:c r="G47" s="33" t="n">
        <x:f>('Accretion'!K21-'Operations'!K20*$D47*(1-'Assumptions'!$D$69)-('Synergies'!K12+'Synergies'!K14)*MIN(1,G$42/2)*(1-'Assumptions'!$D$69))/'Accretion'!K23/'Accretion'!K9-1</x:f>
        <x:v>0.0009858067266907966</x:v>
      </x:c>
      <x:c r="H47" s="33" t="n">
        <x:f>('Accretion'!K21-'Operations'!K20*$D47*(1-'Assumptions'!$D$69)-('Synergies'!K12+'Synergies'!K14)*MIN(1,H$42/2)*(1-'Assumptions'!$D$69))/'Accretion'!K23/'Accretion'!K9-1</x:f>
        <x:v>0.000328011139136386</x:v>
      </x:c>
      <x:c r="I47" s="33" t="n">
        <x:f>('Accretion'!K21-'Operations'!K20*$D47*(1-'Assumptions'!$D$69)-('Synergies'!K12+'Synergies'!K14)*MIN(1,I$42/2)*(1-'Assumptions'!$D$69))/'Accretion'!K23/'Accretion'!K9-1</x:f>
        <x:v>-0.0003297844484181356</x:v>
      </x:c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6BA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History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4" customHeight="1">
      <x:c r="A5" s="1"/>
      <x:c r="B5" s="1"/>
      <x:c r="C5" s="16" t="str">
        <x:v>Reported statements and later comparative presentation</x:v>
      </x:c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H1 2025 A</x:v>
      </x:c>
      <x:c r="I6" s="10"/>
      <x:c r="J6" s="10"/>
      <x:c r="K6" s="10"/>
      <x:c r="L6" s="10"/>
      <x:c r="M6" s="10"/>
      <x:c r="N6" s="1"/>
      <x:c r="O6" s="1"/>
    </x:row>
    <x:row r="7" ht="21" customHeight="1">
      <x:c r="A7" s="1"/>
      <x:c r="B7" s="1"/>
      <x:c r="C7" s="1" t="str">
        <x:v>Net revenue</x:v>
      </x:c>
      <x:c r="D7" s="11" t="n">
        <x:v>1318.014</x:v>
      </x:c>
      <x:c r="E7" s="11" t="n">
        <x:v>1355.63</x:v>
      </x:c>
      <x:c r="F7" s="11" t="n">
        <x:v>2515.269</x:v>
      </x:c>
      <x:c r="G7" s="11" t="n">
        <x:v>1600.54</x:v>
      </x:c>
      <x:c r="H7" s="11" t="n">
        <x:v>1068.535</x:v>
      </x:c>
      <x:c r="I7" s="2"/>
      <x:c r="J7" s="2"/>
      <x:c r="K7" s="2"/>
      <x:c r="L7" s="2"/>
      <x:c r="M7" s="2"/>
      <x:c r="N7" s="1"/>
      <x:c r="O7" s="12" t="str">
        <x:v>S01 FY2023-25; S03 H1 2026 and H1 2025</x:v>
      </x:c>
    </x:row>
    <x:row r="8" ht="21" customHeight="1">
      <x:c r="A8" s="1"/>
      <x:c r="B8" s="1"/>
      <x:c r="C8" s="1" t="str">
        <x:v>Cost of revenue</x:v>
      </x:c>
      <x:c r="D8" s="11" t="n">
        <x:v>684.875</x:v>
      </x:c>
      <x:c r="E8" s="11" t="n">
        <x:v>675.423</x:v>
      </x:c>
      <x:c r="F8" s="11" t="n">
        <x:v>1247.936</x:v>
      </x:c>
      <x:c r="G8" s="11" t="n">
        <x:v>828.785</x:v>
      </x:c>
      <x:c r="H8" s="11" t="n">
        <x:v>515.311</x:v>
      </x:c>
      <x:c r="I8" s="2"/>
      <x:c r="J8" s="2"/>
      <x:c r="K8" s="2"/>
      <x:c r="L8" s="2"/>
      <x:c r="M8" s="2"/>
      <x:c r="N8" s="1"/>
      <x:c r="O8" s="12" t="str">
        <x:v>S01 FY2023-25; S03 H1 2026 and H1 2025</x:v>
      </x:c>
    </x:row>
    <x:row r="9" ht="21" customHeight="1">
      <x:c r="A9" s="1"/>
      <x:c r="B9" s="1"/>
      <x:c r="C9" s="1" t="str">
        <x:v>Gross profit</x:v>
      </x:c>
      <x:c r="D9" s="2" t="n">
        <x:f>D7-D8</x:f>
        <x:v>633.1389999999999</x:v>
      </x:c>
      <x:c r="E9" s="2" t="n">
        <x:f>E7-E8</x:f>
        <x:v>680.2070000000001</x:v>
      </x:c>
      <x:c r="F9" s="2" t="n">
        <x:f>F7-F8</x:f>
        <x:v>1267.3329999999999</x:v>
      </x:c>
      <x:c r="G9" s="2" t="n">
        <x:f>G7-G8</x:f>
        <x:v>771.755</x:v>
      </x:c>
      <x:c r="H9" s="2" t="n">
        <x:f>H7-H8</x:f>
        <x:v>553.224</x:v>
      </x:c>
      <x:c r="I9" s="2"/>
      <x:c r="J9" s="2"/>
      <x:c r="K9" s="2"/>
      <x:c r="L9" s="2"/>
      <x:c r="M9" s="2"/>
      <x:c r="N9" s="1"/>
      <x:c r="O9" s="1"/>
    </x:row>
    <x:row r="10" ht="21" customHeight="1">
      <x:c r="A10" s="1"/>
      <x:c r="B10" s="1"/>
      <x:c r="C10" s="1" t="str">
        <x:v>Selling, general and administrative</x:v>
      </x:c>
      <x:c r="D10" s="11" t="n">
        <x:v>366.773</x:v>
      </x:c>
      <x:c r="E10" s="11" t="n">
        <x:v>524.479</x:v>
      </x:c>
      <x:c r="F10" s="11" t="n">
        <x:v>798.81</x:v>
      </x:c>
      <x:c r="G10" s="11" t="n">
        <x:v>472.22</x:v>
      </x:c>
      <x:c r="H10" s="11" t="n">
        <x:v>358.228</x:v>
      </x:c>
      <x:c r="I10" s="2"/>
      <x:c r="J10" s="2"/>
      <x:c r="K10" s="2"/>
      <x:c r="L10" s="2"/>
      <x:c r="M10" s="2"/>
      <x:c r="N10" s="1"/>
      <x:c r="O10" s="12" t="str">
        <x:v>S01 FY2023-25; S03 H1 2026 and H1 2025</x:v>
      </x:c>
    </x:row>
    <x:row r="11" ht="21" customHeight="1">
      <x:c r="A11" s="1"/>
      <x:c r="B11" s="1"/>
      <x:c r="C11" s="1" t="str">
        <x:v>Distributor termination expense</x:v>
      </x:c>
      <x:c r="D11" s="11" t="n">
        <x:v>0</x:v>
      </x:c>
      <x:c r="E11" s="11" t="n">
        <x:v>0</x:v>
      </x:c>
      <x:c r="F11" s="11" t="n">
        <x:v>327.461</x:v>
      </x:c>
      <x:c r="G11" s="11" t="n">
        <x:v>85.287</x:v>
      </x:c>
      <x:c r="H11" s="11" t="n">
        <x:v>0</x:v>
      </x:c>
      <x:c r="I11" s="2"/>
      <x:c r="J11" s="2"/>
      <x:c r="K11" s="2"/>
      <x:c r="L11" s="2"/>
      <x:c r="M11" s="2"/>
      <x:c r="N11" s="1"/>
      <x:c r="O11" s="12" t="str">
        <x:v>S01 FY2023-25; S03 H1 2026 and H1 2025</x:v>
      </x:c>
    </x:row>
    <x:row r="12" ht="21" customHeight="1">
      <x:c r="A12" s="1"/>
      <x:c r="B12" s="1"/>
      <x:c r="C12" s="1" t="str">
        <x:v>Reported EBIT</x:v>
      </x:c>
      <x:c r="D12" s="2" t="n">
        <x:f>D9-D10-D11</x:f>
        <x:v>266.3659999999999</x:v>
      </x:c>
      <x:c r="E12" s="2" t="n">
        <x:f>E9-E10-E11</x:f>
        <x:v>155.72800000000007</x:v>
      </x:c>
      <x:c r="F12" s="2" t="n">
        <x:f>F9-F10-F11</x:f>
        <x:v>141.0619999999999</x:v>
      </x:c>
      <x:c r="G12" s="2" t="n">
        <x:f>G9-G10-G11</x:f>
        <x:v>214.24799999999996</x:v>
      </x:c>
      <x:c r="H12" s="2" t="n">
        <x:f>H9-H10-H11</x:f>
        <x:v>194.99600000000004</x:v>
      </x:c>
      <x:c r="I12" s="2"/>
      <x:c r="J12" s="2"/>
      <x:c r="K12" s="2"/>
      <x:c r="L12" s="2"/>
      <x:c r="M12" s="2"/>
      <x:c r="N12" s="1"/>
      <x:c r="O12" s="1"/>
    </x:row>
    <x:row r="13" ht="21" customHeight="1">
      <x:c r="A13" s="1"/>
      <x:c r="B13" s="1"/>
      <x:c r="C13" s="1" t="str">
        <x:v>Interest income</x:v>
      </x:c>
      <x:c r="D13" s="11" t="n">
        <x:v>26.629</x:v>
      </x:c>
      <x:c r="E13" s="11" t="n">
        <x:v>39.263</x:v>
      </x:c>
      <x:c r="F13" s="11" t="n">
        <x:v>21.085</x:v>
      </x:c>
      <x:c r="G13" s="11" t="n">
        <x:v>6.67</x:v>
      </x:c>
      <x:c r="H13" s="11" t="n">
        <x:v>11.884</x:v>
      </x:c>
      <x:c r="I13" s="2"/>
      <x:c r="J13" s="2"/>
      <x:c r="K13" s="2"/>
      <x:c r="L13" s="2"/>
      <x:c r="M13" s="2"/>
      <x:c r="N13" s="1"/>
      <x:c r="O13" s="12" t="str">
        <x:v>S01 FY2023-25; S03 H1 2026 and H1 2025</x:v>
      </x:c>
    </x:row>
    <x:row r="14" ht="21" customHeight="1">
      <x:c r="A14" s="1"/>
      <x:c r="B14" s="1"/>
      <x:c r="C14" s="1" t="str">
        <x:v>Interest expense</x:v>
      </x:c>
      <x:c r="D14" s="11" t="n">
        <x:v>0</x:v>
      </x:c>
      <x:c r="E14" s="11" t="n">
        <x:v>0</x:v>
      </x:c>
      <x:c r="F14" s="11" t="n">
        <x:v>48.977</x:v>
      </x:c>
      <x:c r="G14" s="11" t="n">
        <x:v>23.409</x:v>
      </x:c>
      <x:c r="H14" s="11" t="n">
        <x:v>18.08</x:v>
      </x:c>
      <x:c r="I14" s="2"/>
      <x:c r="J14" s="2"/>
      <x:c r="K14" s="2"/>
      <x:c r="L14" s="2"/>
      <x:c r="M14" s="2"/>
      <x:c r="N14" s="1"/>
      <x:c r="O14" s="12" t="str">
        <x:v>S01 FY2023-25; S03 H1 2026 and H1 2025</x:v>
      </x:c>
    </x:row>
    <x:row r="15" ht="21" customHeight="1">
      <x:c r="A15" s="1"/>
      <x:c r="B15" s="1"/>
      <x:c r="C15" s="1" t="str">
        <x:v>Other income / (expense)</x:v>
      </x:c>
      <x:c r="D15" s="11" t="n">
        <x:v>-1.246</x:v>
      </x:c>
      <x:c r="E15" s="11" t="n">
        <x:v>0.059</x:v>
      </x:c>
      <x:c r="F15" s="11" t="n">
        <x:v>11.863</x:v>
      </x:c>
      <x:c r="G15" s="11" t="n">
        <x:v>9.557</x:v>
      </x:c>
      <x:c r="H15" s="11" t="n">
        <x:v>1.658</x:v>
      </x:c>
      <x:c r="I15" s="2"/>
      <x:c r="J15" s="2"/>
      <x:c r="K15" s="2"/>
      <x:c r="L15" s="2"/>
      <x:c r="M15" s="2"/>
      <x:c r="N15" s="1"/>
      <x:c r="O15" s="12" t="str">
        <x:v>S01 FY2023-25; S03 H1 2026 and H1 2025</x:v>
      </x:c>
    </x:row>
    <x:row r="16" ht="21" customHeight="1">
      <x:c r="A16" s="1"/>
      <x:c r="B16" s="1"/>
      <x:c r="C16" s="1" t="str">
        <x:v>Profit before tax</x:v>
      </x:c>
      <x:c r="D16" s="2" t="n">
        <x:f>D12+D13-D14+D15</x:f>
        <x:v>291.7489999999999</x:v>
      </x:c>
      <x:c r="E16" s="2" t="n">
        <x:f>E12+E13-E14+E15</x:f>
        <x:v>195.05000000000007</x:v>
      </x:c>
      <x:c r="F16" s="2" t="n">
        <x:f>F12+F13-F14+F15</x:f>
        <x:v>125.0329999999999</x:v>
      </x:c>
      <x:c r="G16" s="2" t="n">
        <x:f>G12+G13-G14+G15</x:f>
        <x:v>207.06599999999995</x:v>
      </x:c>
      <x:c r="H16" s="2" t="n">
        <x:f>H12+H13-H14+H15</x:f>
        <x:v>190.45800000000006</x:v>
      </x:c>
      <x:c r="I16" s="2"/>
      <x:c r="J16" s="2"/>
      <x:c r="K16" s="2"/>
      <x:c r="L16" s="2"/>
      <x:c r="M16" s="2"/>
      <x:c r="N16" s="1"/>
      <x:c r="O16" s="1"/>
    </x:row>
    <x:row r="17" ht="21" customHeight="1">
      <x:c r="A17" s="1"/>
      <x:c r="B17" s="1"/>
      <x:c r="C17" s="1" t="str">
        <x:v>Income tax expense</x:v>
      </x:c>
      <x:c r="D17" s="11" t="n">
        <x:v>64.948</x:v>
      </x:c>
      <x:c r="E17" s="11" t="n">
        <x:v>49.976</x:v>
      </x:c>
      <x:c r="F17" s="11" t="n">
        <x:v>17.034</x:v>
      </x:c>
      <x:c r="G17" s="11" t="n">
        <x:v>41.674</x:v>
      </x:c>
      <x:c r="H17" s="11" t="n">
        <x:v>46.184</x:v>
      </x:c>
      <x:c r="I17" s="2"/>
      <x:c r="J17" s="2"/>
      <x:c r="K17" s="2"/>
      <x:c r="L17" s="2"/>
      <x:c r="M17" s="2"/>
      <x:c r="N17" s="1"/>
      <x:c r="O17" s="12" t="str">
        <x:v>S01 FY2023-25; S03 H1 2026 and H1 2025</x:v>
      </x:c>
    </x:row>
    <x:row r="18" ht="21" customHeight="1">
      <x:c r="A18" s="1"/>
      <x:c r="B18" s="1"/>
      <x:c r="C18" s="1" t="str">
        <x:v>Net income</x:v>
      </x:c>
      <x:c r="D18" s="11" t="n">
        <x:v>226.801</x:v>
      </x:c>
      <x:c r="E18" s="11" t="n">
        <x:v>145.074</x:v>
      </x:c>
      <x:c r="F18" s="11" t="n">
        <x:v>107.999</x:v>
      </x:c>
      <x:c r="G18" s="11" t="n">
        <x:v>165.392</x:v>
      </x:c>
      <x:c r="H18" s="11" t="n">
        <x:v>144.274</x:v>
      </x:c>
      <x:c r="I18" s="2"/>
      <x:c r="J18" s="2"/>
      <x:c r="K18" s="2"/>
      <x:c r="L18" s="2"/>
      <x:c r="M18" s="2"/>
      <x:c r="N18" s="1"/>
      <x:c r="O18" s="12" t="str">
        <x:v>S01 FY2023-25; S03 H1 2026 and H1 2025</x:v>
      </x:c>
    </x:row>
    <x:row r="19" ht="21" customHeight="1">
      <x:c r="A19" s="1"/>
      <x:c r="B19" s="1"/>
      <x:c r="C19" s="1" t="str">
        <x:v>Preferred dividends</x:v>
      </x:c>
      <x:c r="D19" s="11" t="n">
        <x:v>27.462</x:v>
      </x:c>
      <x:c r="E19" s="11" t="n">
        <x:v>27.5</x:v>
      </x:c>
      <x:c r="F19" s="11" t="n">
        <x:v>37.608</x:v>
      </x:c>
      <x:c r="G19" s="11" t="n">
        <x:v>28.142</x:v>
      </x:c>
      <x:c r="H19" s="11" t="n">
        <x:v>13.632</x:v>
      </x:c>
      <x:c r="I19" s="2"/>
      <x:c r="J19" s="2"/>
      <x:c r="K19" s="2"/>
      <x:c r="L19" s="2"/>
      <x:c r="M19" s="2"/>
      <x:c r="N19" s="1"/>
      <x:c r="O19" s="12" t="str">
        <x:v>S01 FY2023-25; S03 H1 2026 and H1 2025</x:v>
      </x:c>
    </x:row>
    <x:row r="20" ht="21" customHeight="1">
      <x:c r="A20" s="1"/>
      <x:c r="B20" s="1"/>
      <x:c r="C20" s="1" t="str">
        <x:v>Earnings allocated to preferred</x:v>
      </x:c>
      <x:c r="D20" s="11" t="n">
        <x:v>17.348</x:v>
      </x:c>
      <x:c r="E20" s="11" t="n">
        <x:v>10.117</x:v>
      </x:c>
      <x:c r="F20" s="11" t="n">
        <x:v>6.554</x:v>
      </x:c>
      <x:c r="G20" s="11" t="n">
        <x:v>15.807</x:v>
      </x:c>
      <x:c r="H20" s="11" t="n">
        <x:v>10.703</x:v>
      </x:c>
      <x:c r="I20" s="2"/>
      <x:c r="J20" s="2"/>
      <x:c r="K20" s="2"/>
      <x:c r="L20" s="2"/>
      <x:c r="M20" s="2"/>
      <x:c r="N20" s="1"/>
      <x:c r="O20" s="12" t="str">
        <x:v>S01 FY2023-25; S03 H1 2026 and H1 2025</x:v>
      </x:c>
    </x:row>
    <x:row r="21" ht="21" customHeight="1">
      <x:c r="A21" s="1"/>
      <x:c r="B21" s="1"/>
      <x:c r="C21" s="1" t="str">
        <x:v>NI attributable to common</x:v>
      </x:c>
      <x:c r="D21" s="2" t="n">
        <x:f>D18-D19-D20</x:f>
        <x:v>181.99099999999999</x:v>
      </x:c>
      <x:c r="E21" s="2" t="n">
        <x:f>E18-E19-E20</x:f>
        <x:v>107.45700000000001</x:v>
      </x:c>
      <x:c r="F21" s="2" t="n">
        <x:f>F18-F19-F20</x:f>
        <x:v>63.83699999999999</x:v>
      </x:c>
      <x:c r="G21" s="2" t="n">
        <x:f>G18-G19-G20</x:f>
        <x:v>121.443</x:v>
      </x:c>
      <x:c r="H21" s="2" t="n">
        <x:f>H18-H19-H20</x:f>
        <x:v>119.939</x:v>
      </x:c>
      <x:c r="I21" s="2"/>
      <x:c r="J21" s="2"/>
      <x:c r="K21" s="2"/>
      <x:c r="L21" s="2"/>
      <x:c r="M21" s="2"/>
      <x:c r="N21" s="1"/>
      <x:c r="O21" s="1"/>
    </x:row>
    <x:row r="22" ht="21" customHeight="1">
      <x:c r="A22" s="1"/>
      <x:c r="B22" s="1"/>
      <x:c r="C22" s="1" t="str">
        <x:v>Diluted weighted average shares (m)</x:v>
      </x:c>
      <x:c r="D22" s="11" t="n">
        <x:v>236.964</x:v>
      </x:c>
      <x:c r="E22" s="11" t="n">
        <x:v>237.404</x:v>
      </x:c>
      <x:c r="F22" s="11" t="n">
        <x:v>254.911</x:v>
      </x:c>
      <x:c r="G22" s="11" t="n">
        <x:v>258.495</x:v>
      </x:c>
      <x:c r="H22" s="11" t="n">
        <x:v>248.757</x:v>
      </x:c>
      <x:c r="I22" s="2"/>
      <x:c r="J22" s="2"/>
      <x:c r="K22" s="2"/>
      <x:c r="L22" s="2"/>
      <x:c r="M22" s="2"/>
      <x:c r="N22" s="1"/>
      <x:c r="O22" s="12" t="str">
        <x:v>S01 FY2023-25; S03 H1 2026 and H1 2025</x:v>
      </x:c>
    </x:row>
    <x:row r="23" ht="21" customHeight="1">
      <x:c r="A23" s="1"/>
      <x:c r="B23" s="1"/>
      <x:c r="C23" s="1" t="str">
        <x:v>Reported diluted EPS (USD)</x:v>
      </x:c>
      <x:c r="D23" s="13" t="n">
        <x:v>0.77</x:v>
      </x:c>
      <x:c r="E23" s="13" t="n">
        <x:v>0.45</x:v>
      </x:c>
      <x:c r="F23" s="13" t="n">
        <x:v>0.25</x:v>
      </x:c>
      <x:c r="G23" s="13" t="n">
        <x:v>0.47</x:v>
      </x:c>
      <x:c r="H23" s="13" t="n">
        <x:v>0.48</x:v>
      </x:c>
      <x:c r="I23" s="2"/>
      <x:c r="J23" s="2"/>
      <x:c r="K23" s="2"/>
      <x:c r="L23" s="2"/>
      <x:c r="M23" s="2"/>
      <x:c r="N23" s="1"/>
      <x:c r="O23" s="12" t="str">
        <x:v>S01 FY2023-25; S03 H1 2026 and H1 2025</x:v>
      </x:c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4" customHeight="1">
      <x:c r="A25" s="1"/>
      <x:c r="B25" s="1"/>
      <x:c r="C25" s="16" t="str">
        <x:v>Cash flow inputs</x:v>
      </x:c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"/>
      <x:c r="O25" s="1"/>
    </x:row>
    <x:row r="26" ht="21" customHeight="1">
      <x:c r="A26" s="1"/>
      <x:c r="B26" s="1"/>
      <x:c r="C26" s="1" t="str">
        <x:v>Depreciation and amortisation</x:v>
      </x:c>
      <x:c r="D26" s="11" t="n">
        <x:v>3.226</x:v>
      </x:c>
      <x:c r="E26" s="11" t="n">
        <x:v>7.274</x:v>
      </x:c>
      <x:c r="F26" s="11" t="n">
        <x:v>29.451</x:v>
      </x:c>
      <x:c r="G26" s="11" t="n">
        <x:v>19.238</x:v>
      </x:c>
      <x:c r="H26" s="11" t="n">
        <x:v>11.73</x:v>
      </x:c>
      <x:c r="I26" s="2"/>
      <x:c r="J26" s="2"/>
      <x:c r="K26" s="2"/>
      <x:c r="L26" s="2"/>
      <x:c r="M26" s="2"/>
      <x:c r="N26" s="1"/>
      <x:c r="O26" s="12" t="str">
        <x:v>S01 FY2023-25; S03 H1 2026 and H1 2025</x:v>
      </x:c>
    </x:row>
    <x:row r="27" ht="21" customHeight="1">
      <x:c r="A27" s="1"/>
      <x:c r="B27" s="1"/>
      <x:c r="C27" s="1" t="str">
        <x:v>Stock-based compensation</x:v>
      </x:c>
      <x:c r="D27" s="11" t="n">
        <x:v>21.226</x:v>
      </x:c>
      <x:c r="E27" s="11" t="n">
        <x:v>19.591</x:v>
      </x:c>
      <x:c r="F27" s="11" t="n">
        <x:v>28.05</x:v>
      </x:c>
      <x:c r="G27" s="11" t="n">
        <x:v>18.191</x:v>
      </x:c>
      <x:c r="H27" s="11" t="n">
        <x:v>11.463</x:v>
      </x:c>
      <x:c r="I27" s="2"/>
      <x:c r="J27" s="2"/>
      <x:c r="K27" s="2"/>
      <x:c r="L27" s="2"/>
      <x:c r="M27" s="2"/>
      <x:c r="N27" s="1"/>
      <x:c r="O27" s="12" t="str">
        <x:v>S01 FY2023-25; S03 H1 2026 and H1 2025</x:v>
      </x:c>
    </x:row>
    <x:row r="28" ht="21" customHeight="1">
      <x:c r="A28" s="1"/>
      <x:c r="B28" s="1"/>
      <x:c r="C28" s="1" t="str">
        <x:v>Deferred customer cost amortisation</x:v>
      </x:c>
      <x:c r="D28" s="11" t="n">
        <x:v>14.124</x:v>
      </x:c>
      <x:c r="E28" s="11" t="n">
        <x:v>14.124</x:v>
      </x:c>
      <x:c r="F28" s="11" t="n">
        <x:v>26.326</x:v>
      </x:c>
      <x:c r="G28" s="11" t="n">
        <x:v>24.591</x:v>
      </x:c>
      <x:c r="H28" s="11" t="n">
        <x:v>7.062</x:v>
      </x:c>
      <x:c r="I28" s="2"/>
      <x:c r="J28" s="2"/>
      <x:c r="K28" s="2"/>
      <x:c r="L28" s="2"/>
      <x:c r="M28" s="2"/>
      <x:c r="N28" s="1"/>
      <x:c r="O28" s="12" t="str">
        <x:v>S01 FY2023-25; S03 H1 2026 and H1 2025</x:v>
      </x:c>
    </x:row>
    <x:row r="29" ht="21" customHeight="1">
      <x:c r="A29" s="1"/>
      <x:c r="B29" s="1"/>
      <x:c r="C29" s="1" t="str">
        <x:v>Deferred tax expense / (benefit)</x:v>
      </x:c>
      <x:c r="D29" s="11" t="n">
        <x:v>-42.055</x:v>
      </x:c>
      <x:c r="E29" s="11" t="n">
        <x:v>-9.73</x:v>
      </x:c>
      <x:c r="F29" s="11" t="n">
        <x:v>-57.336</x:v>
      </x:c>
      <x:c r="G29" s="11" t="n">
        <x:v>2.692</x:v>
      </x:c>
      <x:c r="H29" s="11" t="n">
        <x:v>-4.161</x:v>
      </x:c>
      <x:c r="I29" s="2"/>
      <x:c r="J29" s="2"/>
      <x:c r="K29" s="2"/>
      <x:c r="L29" s="2"/>
      <x:c r="M29" s="2"/>
      <x:c r="N29" s="1"/>
      <x:c r="O29" s="12" t="str">
        <x:v>S01 FY2023-25; S03 H1 2026 and H1 2025</x:v>
      </x:c>
    </x:row>
    <x:row r="30" ht="21" customHeight="1">
      <x:c r="A30" s="1"/>
      <x:c r="B30" s="1"/>
      <x:c r="C30" s="1" t="str">
        <x:v>Capital expenditure</x:v>
      </x:c>
      <x:c r="D30" s="11" t="n">
        <x:v>17.433</x:v>
      </x:c>
      <x:c r="E30" s="11" t="n">
        <x:v>23.39</x:v>
      </x:c>
      <x:c r="F30" s="11" t="n">
        <x:v>36.067</x:v>
      </x:c>
      <x:c r="G30" s="11" t="n">
        <x:v>24.982</x:v>
      </x:c>
      <x:c r="H30" s="11" t="n">
        <x:v>15.194</x:v>
      </x:c>
      <x:c r="I30" s="2"/>
      <x:c r="J30" s="2"/>
      <x:c r="K30" s="2"/>
      <x:c r="L30" s="2"/>
      <x:c r="M30" s="2"/>
      <x:c r="N30" s="1"/>
      <x:c r="O30" s="12" t="str">
        <x:v>S01 FY2023-25; S03 H1 2026 and H1 2025</x:v>
      </x:c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 t="str">
        <x:v>Cash flow from operations</x:v>
      </x:c>
      <x:c r="D32" s="11" t="n">
        <x:v>141.218</x:v>
      </x:c>
      <x:c r="E32" s="11" t="n">
        <x:v>262.898</x:v>
      </x:c>
      <x:c r="F32" s="11" t="n">
        <x:v>359.442</x:v>
      </x:c>
      <x:c r="G32" s="11" t="n">
        <x:v>296.266</x:v>
      </x:c>
      <x:c r="H32" s="11" t="n">
        <x:v>147.079</x:v>
      </x:c>
      <x:c r="I32" s="2"/>
      <x:c r="J32" s="2"/>
      <x:c r="K32" s="2"/>
      <x:c r="L32" s="2"/>
      <x:c r="M32" s="2"/>
      <x:c r="N32" s="1"/>
      <x:c r="O32" s="12" t="str">
        <x:v>S01 FY2023-25; S03 H1 2026 and H1 2025</x:v>
      </x:c>
    </x:row>
    <x:row r="33" ht="21" customHeight="1">
      <x:c r="A33" s="1"/>
      <x:c r="B33" s="1"/>
      <x:c r="C33" s="1" t="str">
        <x:v>Cash flow from investing</x:v>
      </x:c>
      <x:c r="D33" s="11" t="n">
        <x:v>-14.2</x:v>
      </x:c>
      <x:c r="E33" s="11" t="n">
        <x:v>-101.726</x:v>
      </x:c>
      <x:c r="F33" s="11" t="n">
        <x:v>-1295.68</x:v>
      </x:c>
      <x:c r="G33" s="11" t="n">
        <x:v>-24.741</x:v>
      </x:c>
      <x:c r="H33" s="11" t="n">
        <x:v>-1276.545</x:v>
      </x:c>
      <x:c r="I33" s="2"/>
      <x:c r="J33" s="2"/>
      <x:c r="K33" s="2"/>
      <x:c r="L33" s="2"/>
      <x:c r="M33" s="2"/>
      <x:c r="N33" s="1"/>
      <x:c r="O33" s="12" t="str">
        <x:v>S01 FY2023-25; S03 H1 2026 and H1 2025</x:v>
      </x:c>
    </x:row>
    <x:row r="34" ht="21" customHeight="1">
      <x:c r="A34" s="1"/>
      <x:c r="B34" s="1"/>
      <x:c r="C34" s="1" t="str">
        <x:v>Cash flow from financing</x:v>
      </x:c>
      <x:c r="D34" s="11" t="n">
        <x:v>-25.221</x:v>
      </x:c>
      <x:c r="E34" s="11" t="n">
        <x:v>-25.966</x:v>
      </x:c>
      <x:c r="F34" s="11" t="n">
        <x:v>582.764</x:v>
      </x:c>
      <x:c r="G34" s="11" t="n">
        <x:v>-176.354</x:v>
      </x:c>
      <x:c r="H34" s="11" t="n">
        <x:v>852.295</x:v>
      </x:c>
      <x:c r="I34" s="2"/>
      <x:c r="J34" s="2"/>
      <x:c r="K34" s="2"/>
      <x:c r="L34" s="2"/>
      <x:c r="M34" s="2"/>
      <x:c r="N34" s="1"/>
      <x:c r="O34" s="12" t="str">
        <x:v>S01 FY2023-25; S03 H1 2026 and H1 2025</x:v>
      </x:c>
    </x:row>
    <x:row r="35" ht="21" customHeight="1">
      <x:c r="A35" s="1"/>
      <x:c r="B35" s="1"/>
      <x:c r="C35" s="1" t="str">
        <x:v>FX effect on cash</x:v>
      </x:c>
      <x:c r="D35" s="11" t="n">
        <x:v>1.257</x:v>
      </x:c>
      <x:c r="E35" s="11" t="n">
        <x:v>-0.997</x:v>
      </x:c>
      <x:c r="F35" s="11" t="n">
        <x:v>3.271</x:v>
      </x:c>
      <x:c r="G35" s="11" t="n">
        <x:v>-2.029</x:v>
      </x:c>
      <x:c r="H35" s="11" t="n">
        <x:v>2.214</x:v>
      </x:c>
      <x:c r="I35" s="2"/>
      <x:c r="J35" s="2"/>
      <x:c r="K35" s="2"/>
      <x:c r="L35" s="2"/>
      <x:c r="M35" s="2"/>
      <x:c r="N35" s="1"/>
      <x:c r="O35" s="12" t="str">
        <x:v>S01 FY2023-25; S03 H1 2026 and H1 2025</x:v>
      </x:c>
    </x:row>
    <x:row r="36" ht="21" customHeight="1">
      <x:c r="A36" s="1"/>
      <x:c r="B36" s="1"/>
      <x:c r="C36" s="1" t="str">
        <x:v>Opening cash including restricted</x:v>
      </x:c>
      <x:c r="D36" s="11" t="n">
        <x:v>652.927</x:v>
      </x:c>
      <x:c r="E36" s="11" t="n">
        <x:v>755.981</x:v>
      </x:c>
      <x:c r="F36" s="11" t="n">
        <x:v>890.19</x:v>
      </x:c>
      <x:c r="G36" s="11" t="n">
        <x:v>539.987</x:v>
      </x:c>
      <x:c r="H36" s="11" t="n">
        <x:v>890.19</x:v>
      </x:c>
      <x:c r="I36" s="2"/>
      <x:c r="J36" s="2"/>
      <x:c r="K36" s="2"/>
      <x:c r="L36" s="2"/>
      <x:c r="M36" s="2"/>
      <x:c r="N36" s="1"/>
      <x:c r="O36" s="12" t="str">
        <x:v>S01 FY2023-25; S03 H1 2026 and H1 2025</x:v>
      </x:c>
    </x:row>
    <x:row r="37" ht="21" customHeight="1">
      <x:c r="A37" s="1"/>
      <x:c r="B37" s="1"/>
      <x:c r="C37" s="1" t="str">
        <x:v>Closing cash including restricted</x:v>
      </x:c>
      <x:c r="D37" s="11" t="n">
        <x:v>755.981</x:v>
      </x:c>
      <x:c r="E37" s="11" t="n">
        <x:v>890.19</x:v>
      </x:c>
      <x:c r="F37" s="11" t="n">
        <x:v>539.987</x:v>
      </x:c>
      <x:c r="G37" s="11" t="n">
        <x:v>633.129</x:v>
      </x:c>
      <x:c r="H37" s="11" t="n">
        <x:v>615.233</x:v>
      </x:c>
      <x:c r="I37" s="2"/>
      <x:c r="J37" s="2"/>
      <x:c r="K37" s="2"/>
      <x:c r="L37" s="2"/>
      <x:c r="M37" s="2"/>
      <x:c r="N37" s="1"/>
      <x:c r="O37" s="12" t="str">
        <x:v>S01 FY2023-25; S03 H1 2026 and H1 2025</x:v>
      </x:c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4" customHeight="1">
      <x:c r="A40" s="1"/>
      <x:c r="B40" s="1"/>
      <x:c r="C40" s="16" t="str">
        <x:v>Assets</x:v>
      </x:c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"/>
      <x:c r="O40" s="1"/>
    </x:row>
    <x:row r="41" ht="21" customHeight="1">
      <x:c r="A41" s="1"/>
      <x:c r="B41" s="1"/>
      <x:c r="C41" s="1" t="str">
        <x:v>Unrestricted cash</x:v>
      </x:c>
      <x:c r="D41" s="11" t="n">
        <x:v>755.981</x:v>
      </x:c>
      <x:c r="E41" s="11" t="n">
        <x:v>890.19</x:v>
      </x:c>
      <x:c r="F41" s="11" t="n">
        <x:v>398.866</x:v>
      </x:c>
      <x:c r="G41" s="11" t="n">
        <x:v>631.234</x:v>
      </x:c>
      <x:c r="H41" s="2"/>
      <x:c r="I41" s="2"/>
      <x:c r="J41" s="2"/>
      <x:c r="K41" s="2"/>
      <x:c r="L41" s="2"/>
      <x:c r="M41" s="2"/>
      <x:c r="N41" s="1"/>
      <x:c r="O41" s="12" t="str">
        <x:v>S02 FY2023; S01 FY2024/25; S03 H1 2026</x:v>
      </x:c>
    </x:row>
    <x:row r="42" ht="21" customHeight="1">
      <x:c r="A42" s="1"/>
      <x:c r="B42" s="1"/>
      <x:c r="C42" s="1" t="str">
        <x:v>Restricted cash</x:v>
      </x:c>
      <x:c r="D42" s="11" t="n">
        <x:v>0</x:v>
      </x:c>
      <x:c r="E42" s="11" t="n">
        <x:v>0</x:v>
      </x:c>
      <x:c r="F42" s="11" t="n">
        <x:v>141.121</x:v>
      </x:c>
      <x:c r="G42" s="11" t="n">
        <x:v>1.895</x:v>
      </x:c>
      <x:c r="H42" s="2"/>
      <x:c r="I42" s="2"/>
      <x:c r="J42" s="2"/>
      <x:c r="K42" s="2"/>
      <x:c r="L42" s="2"/>
      <x:c r="M42" s="2"/>
      <x:c r="N42" s="1"/>
      <x:c r="O42" s="12" t="str">
        <x:v>S02 FY2023; S01 FY2024/25; S03 H1 2026</x:v>
      </x:c>
    </x:row>
    <x:row r="43" ht="21" customHeight="1">
      <x:c r="A43" s="1"/>
      <x:c r="B43" s="1"/>
      <x:c r="C43" s="1" t="str">
        <x:v>Accounts receivable</x:v>
      </x:c>
      <x:c r="D43" s="11" t="n">
        <x:v>183.703</x:v>
      </x:c>
      <x:c r="E43" s="11" t="n">
        <x:v>270.342</x:v>
      </x:c>
      <x:c r="F43" s="11" t="n">
        <x:v>755.499</x:v>
      </x:c>
      <x:c r="G43" s="11" t="n">
        <x:v>735.336</x:v>
      </x:c>
      <x:c r="H43" s="2"/>
      <x:c r="I43" s="2"/>
      <x:c r="J43" s="2"/>
      <x:c r="K43" s="2"/>
      <x:c r="L43" s="2"/>
      <x:c r="M43" s="2"/>
      <x:c r="N43" s="1"/>
      <x:c r="O43" s="12" t="str">
        <x:v>S02 FY2023; S01 FY2024/25; S03 H1 2026</x:v>
      </x:c>
    </x:row>
    <x:row r="44" ht="21" customHeight="1">
      <x:c r="A44" s="1"/>
      <x:c r="B44" s="1"/>
      <x:c r="C44" s="1" t="str">
        <x:v>Inventories</x:v>
      </x:c>
      <x:c r="D44" s="11" t="n">
        <x:v>229.275</x:v>
      </x:c>
      <x:c r="E44" s="11" t="n">
        <x:v>131.165</x:v>
      </x:c>
      <x:c r="F44" s="11" t="n">
        <x:v>337.698</x:v>
      </x:c>
      <x:c r="G44" s="11" t="n">
        <x:v>390.602</x:v>
      </x:c>
      <x:c r="H44" s="2"/>
      <x:c r="I44" s="2"/>
      <x:c r="J44" s="2"/>
      <x:c r="K44" s="2"/>
      <x:c r="L44" s="2"/>
      <x:c r="M44" s="2"/>
      <x:c r="N44" s="1"/>
      <x:c r="O44" s="12" t="str">
        <x:v>S02 FY2023; S01 FY2024/25; S03 H1 2026</x:v>
      </x:c>
    </x:row>
    <x:row r="45" ht="21" customHeight="1">
      <x:c r="A45" s="1"/>
      <x:c r="B45" s="1"/>
      <x:c r="C45" s="1" t="str">
        <x:v>Prepaids and other current assets</x:v>
      </x:c>
      <x:c r="D45" s="11" t="n">
        <x:v>21.821</x:v>
      </x:c>
      <x:c r="E45" s="11" t="n">
        <x:v>18.759</x:v>
      </x:c>
      <x:c r="F45" s="11" t="n">
        <x:v>128.806</x:v>
      </x:c>
      <x:c r="G45" s="11" t="n">
        <x:v>67.422</x:v>
      </x:c>
      <x:c r="H45" s="2"/>
      <x:c r="I45" s="2"/>
      <x:c r="J45" s="2"/>
      <x:c r="K45" s="2"/>
      <x:c r="L45" s="2"/>
      <x:c r="M45" s="2"/>
      <x:c r="N45" s="1"/>
      <x:c r="O45" s="12" t="str">
        <x:v>FY2023 includes USD2.318m note receivable. FY2024-26 classifications follow FY2025 10-K / H1 10-Q.</x:v>
      </x:c>
    </x:row>
    <x:row r="46" ht="21" customHeight="1">
      <x:c r="A46" s="1"/>
      <x:c r="B46" s="1"/>
      <x:c r="C46" s="1" t="str">
        <x:v>Deferred customer costs</x:v>
      </x:c>
      <x:c r="D46" s="11" t="n">
        <x:v>262.462</x:v>
      </x:c>
      <x:c r="E46" s="11" t="n">
        <x:v>248.339</x:v>
      </x:c>
      <x:c r="F46" s="11" t="n">
        <x:v>820.799</x:v>
      </x:c>
      <x:c r="G46" s="11" t="n">
        <x:v>796.209</x:v>
      </x:c>
      <x:c r="H46" s="2"/>
      <x:c r="I46" s="2"/>
      <x:c r="J46" s="2"/>
      <x:c r="K46" s="2"/>
      <x:c r="L46" s="2"/>
      <x:c r="M46" s="2"/>
      <x:c r="N46" s="1"/>
      <x:c r="O46" s="12" t="str">
        <x:v>S02 FY2023; S01 FY2024/25; S03 H1 2026</x:v>
      </x:c>
    </x:row>
    <x:row r="47" ht="21" customHeight="1">
      <x:c r="A47" s="1"/>
      <x:c r="B47" s="1"/>
      <x:c r="C47" s="1" t="str">
        <x:v>Property, plant and equipment</x:v>
      </x:c>
      <x:c r="D47" s="11" t="n">
        <x:v>24.868</x:v>
      </x:c>
      <x:c r="E47" s="11" t="n">
        <x:v>55.602</x:v>
      </x:c>
      <x:c r="F47" s="11" t="n">
        <x:v>87.91</x:v>
      </x:c>
      <x:c r="G47" s="11" t="n">
        <x:v>108.748</x:v>
      </x:c>
      <x:c r="H47" s="2"/>
      <x:c r="I47" s="2"/>
      <x:c r="J47" s="2"/>
      <x:c r="K47" s="2"/>
      <x:c r="L47" s="2"/>
      <x:c r="M47" s="2"/>
      <x:c r="N47" s="1"/>
      <x:c r="O47" s="12" t="str">
        <x:v>S02 FY2023; S01 FY2024/25; S03 H1 2026</x:v>
      </x:c>
    </x:row>
    <x:row r="48" ht="21" customHeight="1">
      <x:c r="A48" s="1"/>
      <x:c r="B48" s="1"/>
      <x:c r="C48" s="1" t="str">
        <x:v>Intangible assets</x:v>
      </x:c>
      <x:c r="D48" s="11" t="n">
        <x:v>12.139</x:v>
      </x:c>
      <x:c r="E48" s="11" t="n">
        <x:v>12.213</x:v>
      </x:c>
      <x:c r="F48" s="11" t="n">
        <x:v>1391.915</x:v>
      </x:c>
      <x:c r="G48" s="11" t="n">
        <x:v>1379.751</x:v>
      </x:c>
      <x:c r="H48" s="2"/>
      <x:c r="I48" s="2"/>
      <x:c r="J48" s="2"/>
      <x:c r="K48" s="2"/>
      <x:c r="L48" s="2"/>
      <x:c r="M48" s="2"/>
      <x:c r="N48" s="1"/>
      <x:c r="O48" s="12" t="str">
        <x:v>S02 FY2023; S01 FY2024/25; S03 H1 2026</x:v>
      </x:c>
    </x:row>
    <x:row r="49" ht="21" customHeight="1">
      <x:c r="A49" s="1"/>
      <x:c r="B49" s="1"/>
      <x:c r="C49" s="1" t="str">
        <x:v>Goodwill</x:v>
      </x:c>
      <x:c r="D49" s="11" t="n">
        <x:v>14.173</x:v>
      </x:c>
      <x:c r="E49" s="11" t="n">
        <x:v>71.582</x:v>
      </x:c>
      <x:c r="F49" s="11" t="n">
        <x:v>917.56</x:v>
      </x:c>
      <x:c r="G49" s="11" t="n">
        <x:v>919.66</x:v>
      </x:c>
      <x:c r="H49" s="2"/>
      <x:c r="I49" s="2"/>
      <x:c r="J49" s="2"/>
      <x:c r="K49" s="2"/>
      <x:c r="L49" s="2"/>
      <x:c r="M49" s="2"/>
      <x:c r="N49" s="1"/>
      <x:c r="O49" s="12" t="str">
        <x:v>S02 FY2023; S01 FY2024/25; S03 H1 2026</x:v>
      </x:c>
    </x:row>
    <x:row r="50" ht="21" customHeight="1">
      <x:c r="A50" s="1"/>
      <x:c r="B50" s="1"/>
      <x:c r="C50" s="1" t="str">
        <x:v>Deferred tax assets</x:v>
      </x:c>
      <x:c r="D50" s="11" t="n">
        <x:v>29.518</x:v>
      </x:c>
      <x:c r="E50" s="11" t="n">
        <x:v>38.699</x:v>
      </x:c>
      <x:c r="F50" s="11" t="n">
        <x:v>96.013</x:v>
      </x:c>
      <x:c r="G50" s="11" t="n">
        <x:v>93.25</x:v>
      </x:c>
      <x:c r="H50" s="2"/>
      <x:c r="I50" s="2"/>
      <x:c r="J50" s="2"/>
      <x:c r="K50" s="2"/>
      <x:c r="L50" s="2"/>
      <x:c r="M50" s="2"/>
      <x:c r="N50" s="1"/>
      <x:c r="O50" s="12" t="str">
        <x:v>S02 FY2023; S01 FY2024/25; S03 H1 2026</x:v>
      </x:c>
    </x:row>
    <x:row r="51" ht="21" customHeight="1">
      <x:c r="A51" s="1"/>
      <x:c r="B51" s="1"/>
      <x:c r="C51" s="1" t="str">
        <x:v>Other non-current assets</x:v>
      </x:c>
      <x:c r="D51" s="11" t="n">
        <x:v>2.456</x:v>
      </x:c>
      <x:c r="E51" s="11" t="n">
        <x:v>29.99</x:v>
      </x:c>
      <x:c r="F51" s="11" t="n">
        <x:v>43.434</x:v>
      </x:c>
      <x:c r="G51" s="11" t="n">
        <x:v>44.044</x:v>
      </x:c>
      <x:c r="H51" s="2"/>
      <x:c r="I51" s="2"/>
      <x:c r="J51" s="2"/>
      <x:c r="K51" s="2"/>
      <x:c r="L51" s="2"/>
      <x:c r="M51" s="2"/>
      <x:c r="N51" s="1"/>
      <x:c r="O51" s="12" t="str">
        <x:v>FY2023 includes USD2.165m right-of-use assets. Operating leases remain operating items.</x:v>
      </x:c>
    </x:row>
    <x:row r="52" ht="21" customHeight="1">
      <x:c r="A52" s="1"/>
      <x:c r="B52" s="1"/>
      <x:c r="C52" s="1" t="str">
        <x:v>Total assets</x:v>
      </x:c>
      <x:c r="D52" s="11" t="n">
        <x:v>1536.396</x:v>
      </x:c>
      <x:c r="E52" s="11" t="n">
        <x:v>1766.881</x:v>
      </x:c>
      <x:c r="F52" s="11" t="n">
        <x:v>5119.621</x:v>
      </x:c>
      <x:c r="G52" s="11" t="n">
        <x:v>5168.151</x:v>
      </x:c>
      <x:c r="H52" s="2"/>
      <x:c r="I52" s="2"/>
      <x:c r="J52" s="2"/>
      <x:c r="K52" s="2"/>
      <x:c r="L52" s="2"/>
      <x:c r="M52" s="2"/>
      <x:c r="N52" s="1"/>
      <x:c r="O52" s="12" t="str">
        <x:v>S02 FY2023; S01 FY2024/25; S03 H1 2026</x:v>
      </x:c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4" customHeight="1">
      <x:c r="A54" s="1"/>
      <x:c r="B54" s="1"/>
      <x:c r="C54" s="16" t="str">
        <x:v>Liabilities and equity</x:v>
      </x:c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"/>
      <x:c r="O54" s="1"/>
    </x:row>
    <x:row r="55" ht="21" customHeight="1">
      <x:c r="A55" s="1"/>
      <x:c r="B55" s="1"/>
      <x:c r="C55" s="1" t="str">
        <x:v>Accounts payable</x:v>
      </x:c>
      <x:c r="D55" s="11" t="n">
        <x:v>42.84</x:v>
      </x:c>
      <x:c r="E55" s="11" t="n">
        <x:v>41.287</x:v>
      </x:c>
      <x:c r="F55" s="11" t="n">
        <x:v>137.93</x:v>
      </x:c>
      <x:c r="G55" s="11" t="n">
        <x:v>202.101</x:v>
      </x:c>
      <x:c r="H55" s="2"/>
      <x:c r="I55" s="2"/>
      <x:c r="J55" s="2"/>
      <x:c r="K55" s="2"/>
      <x:c r="L55" s="2"/>
      <x:c r="M55" s="2"/>
      <x:c r="N55" s="1"/>
      <x:c r="O55" s="12" t="str">
        <x:v>S02 FY2023; S01 FY2024/25; S03 H1 2026</x:v>
      </x:c>
    </x:row>
    <x:row r="56" ht="21" customHeight="1">
      <x:c r="A56" s="1"/>
      <x:c r="B56" s="1"/>
      <x:c r="C56" s="1" t="str">
        <x:v>Accrued expenses</x:v>
      </x:c>
      <x:c r="D56" s="11" t="n">
        <x:v>62.12</x:v>
      </x:c>
      <x:c r="E56" s="11" t="n">
        <x:v>148.78</x:v>
      </x:c>
      <x:c r="F56" s="11" t="n">
        <x:v>230.721</x:v>
      </x:c>
      <x:c r="G56" s="11" t="n">
        <x:v>264.558</x:v>
      </x:c>
      <x:c r="H56" s="2"/>
      <x:c r="I56" s="2"/>
      <x:c r="J56" s="2"/>
      <x:c r="K56" s="2"/>
      <x:c r="L56" s="2"/>
      <x:c r="M56" s="2"/>
      <x:c r="N56" s="1"/>
      <x:c r="O56" s="12" t="str">
        <x:v>S02 FY2023; S01 FY2024/25; S03 H1 2026</x:v>
      </x:c>
    </x:row>
    <x:row r="57" ht="21" customHeight="1">
      <x:c r="A57" s="1"/>
      <x:c r="B57" s="1"/>
      <x:c r="C57" s="1" t="str">
        <x:v>Income taxes payable</x:v>
      </x:c>
      <x:c r="D57" s="11" t="n">
        <x:v>50.424</x:v>
      </x:c>
      <x:c r="E57" s="11" t="n">
        <x:v>10.834</x:v>
      </x:c>
      <x:c r="F57" s="11" t="n">
        <x:v>49.612</x:v>
      </x:c>
      <x:c r="G57" s="11" t="n">
        <x:v>40.821</x:v>
      </x:c>
      <x:c r="H57" s="2"/>
      <x:c r="I57" s="2"/>
      <x:c r="J57" s="2"/>
      <x:c r="K57" s="2"/>
      <x:c r="L57" s="2"/>
      <x:c r="M57" s="2"/>
      <x:c r="N57" s="1"/>
      <x:c r="O57" s="12" t="str">
        <x:v>S02 FY2023; S01 FY2024/25; S03 H1 2026</x:v>
      </x:c>
    </x:row>
    <x:row r="58" ht="21" customHeight="1">
      <x:c r="A58" s="1"/>
      <x:c r="B58" s="1"/>
      <x:c r="C58" s="1" t="str">
        <x:v>Distributor termination payable</x:v>
      </x:c>
      <x:c r="D58" s="11" t="n">
        <x:v>0</x:v>
      </x:c>
      <x:c r="E58" s="11" t="n">
        <x:v>0</x:v>
      </x:c>
      <x:c r="F58" s="11" t="n">
        <x:v>264.088</x:v>
      </x:c>
      <x:c r="G58" s="11" t="n">
        <x:v>8.761</x:v>
      </x:c>
      <x:c r="H58" s="2"/>
      <x:c r="I58" s="2"/>
      <x:c r="J58" s="2"/>
      <x:c r="K58" s="2"/>
      <x:c r="L58" s="2"/>
      <x:c r="M58" s="2"/>
      <x:c r="N58" s="1"/>
      <x:c r="O58" s="12" t="str">
        <x:v>S02 FY2023; S01 FY2024/25; S03 H1 2026</x:v>
      </x:c>
    </x:row>
    <x:row r="59" ht="21" customHeight="1">
      <x:c r="A59" s="1"/>
      <x:c r="B59" s="1"/>
      <x:c r="C59" s="1" t="str">
        <x:v>Promotional allowances payable</x:v>
      </x:c>
      <x:c r="D59" s="11" t="n">
        <x:v>99.787</x:v>
      </x:c>
      <x:c r="E59" s="11" t="n">
        <x:v>135.948</x:v>
      </x:c>
      <x:c r="F59" s="11" t="n">
        <x:v>307.922</x:v>
      </x:c>
      <x:c r="G59" s="11" t="n">
        <x:v>453.043</x:v>
      </x:c>
      <x:c r="H59" s="2"/>
      <x:c r="I59" s="2"/>
      <x:c r="J59" s="2"/>
      <x:c r="K59" s="2"/>
      <x:c r="L59" s="2"/>
      <x:c r="M59" s="2"/>
      <x:c r="N59" s="1"/>
      <x:c r="O59" s="12" t="str">
        <x:v>S02 FY2023; S01 FY2024/25; S03 H1 2026</x:v>
      </x:c>
    </x:row>
    <x:row r="60" ht="21" customHeight="1">
      <x:c r="A60" s="1"/>
      <x:c r="B60" s="1"/>
      <x:c r="C60" s="1" t="str">
        <x:v>Contingent consideration</x:v>
      </x:c>
      <x:c r="D60" s="11" t="n">
        <x:v>0</x:v>
      </x:c>
      <x:c r="E60" s="11" t="n">
        <x:v>0</x:v>
      </x:c>
      <x:c r="F60" s="11" t="n">
        <x:v>25</x:v>
      </x:c>
      <x:c r="G60" s="11" t="n">
        <x:v>0</x:v>
      </x:c>
      <x:c r="H60" s="2"/>
      <x:c r="I60" s="2"/>
      <x:c r="J60" s="2"/>
      <x:c r="K60" s="2"/>
      <x:c r="L60" s="2"/>
      <x:c r="M60" s="2"/>
      <x:c r="N60" s="1"/>
      <x:c r="O60" s="12" t="str">
        <x:v>S02 FY2023; S01 FY2024/25; S03 H1 2026</x:v>
      </x:c>
    </x:row>
    <x:row r="61" ht="21" customHeight="1">
      <x:c r="A61" s="1"/>
      <x:c r="B61" s="1"/>
      <x:c r="C61" s="1" t="str">
        <x:v>Deferred revenue</x:v>
      </x:c>
      <x:c r="D61" s="11" t="n">
        <x:v>176.74</x:v>
      </x:c>
      <x:c r="E61" s="11" t="n">
        <x:v>167.227</x:v>
      </x:c>
      <x:c r="F61" s="11" t="n">
        <x:v>428.143</x:v>
      </x:c>
      <x:c r="G61" s="11" t="n">
        <x:v>495.316</x:v>
      </x:c>
      <x:c r="H61" s="2"/>
      <x:c r="I61" s="2"/>
      <x:c r="J61" s="2"/>
      <x:c r="K61" s="2"/>
      <x:c r="L61" s="2"/>
      <x:c r="M61" s="2"/>
      <x:c r="N61" s="1"/>
      <x:c r="O61" s="12" t="str">
        <x:v>S02 FY2023; S01 FY2024/25; S03 H1 2026</x:v>
      </x:c>
    </x:row>
    <x:row r="62" ht="21" customHeight="1">
      <x:c r="A62" s="1"/>
      <x:c r="B62" s="1"/>
      <x:c r="C62" s="1" t="str">
        <x:v>Other current liabilities ex-debt</x:v>
      </x:c>
      <x:c r="D62" s="11" t="n">
        <x:v>11.929</x:v>
      </x:c>
      <x:c r="E62" s="11" t="n">
        <x:v>19.173</x:v>
      </x:c>
      <x:c r="F62" s="11" t="n">
        <x:v>29.465</x:v>
      </x:c>
      <x:c r="G62" s="11" t="n">
        <x:v>35.891</x:v>
      </x:c>
      <x:c r="H62" s="2"/>
      <x:c r="I62" s="2"/>
      <x:c r="J62" s="2"/>
      <x:c r="K62" s="2"/>
      <x:c r="L62" s="2"/>
      <x:c r="M62" s="2"/>
      <x:c r="N62" s="1"/>
      <x:c r="O62" s="12" t="str">
        <x:v>FY2025/26 excludes USD7m current term debt, included in total debt.</x:v>
      </x:c>
    </x:row>
    <x:row r="63" ht="21" customHeight="1">
      <x:c r="A63" s="1"/>
      <x:c r="B63" s="1"/>
      <x:c r="C63" s="1" t="str">
        <x:v>Debt carrying value, current + LT</x:v>
      </x:c>
      <x:c r="D63" s="11" t="n">
        <x:v>0</x:v>
      </x:c>
      <x:c r="E63" s="11" t="n">
        <x:v>0</x:v>
      </x:c>
      <x:c r="F63" s="11" t="n">
        <x:v>676.926</x:v>
      </x:c>
      <x:c r="G63" s="11" t="n">
        <x:v>674.85</x:v>
      </x:c>
      <x:c r="H63" s="2"/>
      <x:c r="I63" s="2"/>
      <x:c r="J63" s="2"/>
      <x:c r="K63" s="2"/>
      <x:c r="L63" s="2"/>
      <x:c r="M63" s="2"/>
      <x:c r="N63" s="1"/>
      <x:c r="O63" s="12" t="str">
        <x:v>S02 FY2023; S01 FY2024/25; S03 H1 2026</x:v>
      </x:c>
    </x:row>
    <x:row r="64" ht="21" customHeight="1">
      <x:c r="A64" s="1"/>
      <x:c r="B64" s="1"/>
      <x:c r="C64" s="1" t="str">
        <x:v>Other non-current liabilities</x:v>
      </x:c>
      <x:c r="D64" s="11" t="n">
        <x:v>4.028</x:v>
      </x:c>
      <x:c r="E64" s="11" t="n">
        <x:v>19.215</x:v>
      </x:c>
      <x:c r="F64" s="11" t="n">
        <x:v>28.372</x:v>
      </x:c>
      <x:c r="G64" s="11" t="n">
        <x:v>33.251</x:v>
      </x:c>
      <x:c r="H64" s="2"/>
      <x:c r="I64" s="2"/>
      <x:c r="J64" s="2"/>
      <x:c r="K64" s="2"/>
      <x:c r="L64" s="2"/>
      <x:c r="M64" s="2"/>
      <x:c r="N64" s="1"/>
      <x:c r="O64" s="12" t="str">
        <x:v>S02 FY2023; S01 FY2024/25; S03 H1 2026</x:v>
      </x:c>
    </x:row>
    <x:row r="65" ht="21" customHeight="1">
      <x:c r="A65" s="1"/>
      <x:c r="B65" s="1"/>
      <x:c r="C65" s="1" t="str">
        <x:v>Total liabilities</x:v>
      </x:c>
      <x:c r="D65" s="11" t="n">
        <x:v>447.868</x:v>
      </x:c>
      <x:c r="E65" s="11" t="n">
        <x:v>542.464</x:v>
      </x:c>
      <x:c r="F65" s="11" t="n">
        <x:v>2178.179</x:v>
      </x:c>
      <x:c r="G65" s="11" t="n">
        <x:v>2208.592</x:v>
      </x:c>
      <x:c r="H65" s="2"/>
      <x:c r="I65" s="2"/>
      <x:c r="J65" s="2"/>
      <x:c r="K65" s="2"/>
      <x:c r="L65" s="2"/>
      <x:c r="M65" s="2"/>
      <x:c r="N65" s="1"/>
      <x:c r="O65" s="12" t="str">
        <x:v>S02 FY2023; S01 FY2024/25; S03 H1 2026</x:v>
      </x:c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 t="str">
        <x:v>Mezzanine preferred equity</x:v>
      </x:c>
      <x:c r="D67" s="11" t="n">
        <x:v>824.488</x:v>
      </x:c>
      <x:c r="E67" s="11" t="n">
        <x:v>824.488</x:v>
      </x:c>
      <x:c r="F67" s="11" t="n">
        <x:v>1759.975</x:v>
      </x:c>
      <x:c r="G67" s="11" t="n">
        <x:v>1759.975</x:v>
      </x:c>
      <x:c r="H67" s="2"/>
      <x:c r="I67" s="2"/>
      <x:c r="J67" s="2"/>
      <x:c r="K67" s="2"/>
      <x:c r="L67" s="2"/>
      <x:c r="M67" s="2"/>
      <x:c r="N67" s="1"/>
      <x:c r="O67" s="12" t="str">
        <x:v>S02 FY2023; S01 FY2024/25; S03 H1 2026</x:v>
      </x:c>
    </x:row>
    <x:row r="68" ht="21" customHeight="1">
      <x:c r="A68" s="1"/>
      <x:c r="B68" s="1"/>
      <x:c r="C68" s="1" t="str">
        <x:v>Common shareholders equity</x:v>
      </x:c>
      <x:c r="D68" s="11" t="n">
        <x:v>264.04</x:v>
      </x:c>
      <x:c r="E68" s="11" t="n">
        <x:v>399.929</x:v>
      </x:c>
      <x:c r="F68" s="11" t="n">
        <x:v>1181.467</x:v>
      </x:c>
      <x:c r="G68" s="11" t="n">
        <x:v>1199.584</x:v>
      </x:c>
      <x:c r="H68" s="2"/>
      <x:c r="I68" s="2"/>
      <x:c r="J68" s="2"/>
      <x:c r="K68" s="2"/>
      <x:c r="L68" s="2"/>
      <x:c r="M68" s="2"/>
      <x:c r="N68" s="1"/>
      <x:c r="O68" s="12" t="str">
        <x:v>S02 FY2023; S01 FY2024/25; S03 H1 2026</x:v>
      </x:c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4" customHeight="1">
      <x:c r="A71" s="1"/>
      <x:c r="B71" s="1"/>
      <x:c r="C71" s="16" t="str">
        <x:v>Disclosed revenue geography</x:v>
      </x:c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"/>
      <x:c r="O71" s="1"/>
    </x:row>
    <x:row r="72" ht="21" customHeight="1">
      <x:c r="A72" s="1"/>
      <x:c r="B72" s="1"/>
      <x:c r="C72" s="1" t="str">
        <x:v>North America revenue</x:v>
      </x:c>
      <x:c r="D72" s="11" t="n">
        <x:v>1263.341</x:v>
      </x:c>
      <x:c r="E72" s="11" t="n">
        <x:v>1280.894</x:v>
      </x:c>
      <x:c r="F72" s="11" t="n">
        <x:v>2422.49</x:v>
      </x:c>
      <x:c r="G72" s="11" t="n">
        <x:v>1538.014</x:v>
      </x:c>
      <x:c r="H72" s="2"/>
      <x:c r="I72" s="2"/>
      <x:c r="J72" s="2"/>
      <x:c r="K72" s="2"/>
      <x:c r="L72" s="2"/>
      <x:c r="M72" s="2"/>
      <x:c r="N72" s="1"/>
      <x:c r="O72" s="12" t="str">
        <x:v>S01 FY2023-25; S03 H1 2026 and H1 2025</x:v>
      </x:c>
    </x:row>
    <x:row r="73" ht="21" customHeight="1">
      <x:c r="A73" s="1"/>
      <x:c r="B73" s="1"/>
      <x:c r="C73" s="1" t="str">
        <x:v>International revenue</x:v>
      </x:c>
      <x:c r="D73" s="11" t="n">
        <x:v>54.673</x:v>
      </x:c>
      <x:c r="E73" s="11" t="n">
        <x:v>74.736</x:v>
      </x:c>
      <x:c r="F73" s="11" t="n">
        <x:v>92.779</x:v>
      </x:c>
      <x:c r="G73" s="11" t="n">
        <x:v>62.526</x:v>
      </x:c>
      <x:c r="H73" s="2"/>
      <x:c r="I73" s="2"/>
      <x:c r="J73" s="2"/>
      <x:c r="K73" s="2"/>
      <x:c r="L73" s="2"/>
      <x:c r="M73" s="2"/>
      <x:c r="N73" s="1"/>
      <x:c r="O73" s="12" t="str">
        <x:v>S01 FY2023-25; S03 H1 2026 and H1 2025</x:v>
      </x:c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4" customHeight="1">
      <x:c r="A75" s="1"/>
      <x:c r="B75" s="1"/>
      <x:c r="C75" s="16" t="str">
        <x:v>Selected operating normalisations</x:v>
      </x:c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"/>
      <x:c r="O75" s="1"/>
    </x:row>
    <x:row r="76" ht="21" customHeight="1">
      <x:c r="A76" s="1"/>
      <x:c r="B76" s="1"/>
      <x:c r="C76" s="1" t="str">
        <x:v>Acquisition and integration add-back</x:v>
      </x:c>
      <x:c r="D76" s="11" t="n">
        <x:v>0</x:v>
      </x:c>
      <x:c r="E76" s="11" t="n">
        <x:v>2.008</x:v>
      </x:c>
      <x:c r="F76" s="11" t="n">
        <x:v>59.524</x:v>
      </x:c>
      <x:c r="G76" s="11" t="n">
        <x:v>7.573</x:v>
      </x:c>
      <x:c r="H76" s="11" t="n">
        <x:v>38.967</x:v>
      </x:c>
      <x:c r="I76" s="2"/>
      <x:c r="J76" s="2"/>
      <x:c r="K76" s="2"/>
      <x:c r="L76" s="2"/>
      <x:c r="M76" s="2"/>
      <x:c r="N76" s="1"/>
      <x:c r="O76" s="12" t="str">
        <x:v>S04/S05, 2023 add-backs not separately adopted; no invented adjustment</x:v>
      </x:c>
    </x:row>
    <x:row r="77" ht="21" customHeight="1">
      <x:c r="A77" s="1"/>
      <x:c r="B77" s="1"/>
      <x:c r="C77" s="1" t="str">
        <x:v>Legal settlement add-back</x:v>
      </x:c>
      <x:c r="D77" s="11" t="n">
        <x:v>0</x:v>
      </x:c>
      <x:c r="E77" s="11" t="n">
        <x:v>54.005</x:v>
      </x:c>
      <x:c r="F77" s="11" t="n">
        <x:v>0</x:v>
      </x:c>
      <x:c r="G77" s="11" t="n">
        <x:v>24.557</x:v>
      </x:c>
      <x:c r="H77" s="11" t="n">
        <x:v>0</x:v>
      </x:c>
      <x:c r="I77" s="2"/>
      <x:c r="J77" s="2"/>
      <x:c r="K77" s="2"/>
      <x:c r="L77" s="2"/>
      <x:c r="M77" s="2"/>
      <x:c r="N77" s="1"/>
      <x:c r="O77" s="12" t="str">
        <x:v>S04/S05, 2023 add-backs not separately adopted; no invented adjustment</x:v>
      </x:c>
    </x:row>
    <x:row r="78" ht="21" customHeight="1">
      <x:c r="A78" s="1"/>
      <x:c r="B78" s="1"/>
      <x:c r="C78" s="1" t="str">
        <x:v>Inventory step-up add-back</x:v>
      </x:c>
      <x:c r="D78" s="11" t="n">
        <x:v>0</x:v>
      </x:c>
      <x:c r="E78" s="11" t="n">
        <x:v>0</x:v>
      </x:c>
      <x:c r="F78" s="11" t="n">
        <x:v>22.448</x:v>
      </x:c>
      <x:c r="G78" s="11" t="n">
        <x:v>0</x:v>
      </x:c>
      <x:c r="H78" s="11" t="n">
        <x:v>21.692</x:v>
      </x:c>
      <x:c r="I78" s="2"/>
      <x:c r="J78" s="2"/>
      <x:c r="K78" s="2"/>
      <x:c r="L78" s="2"/>
      <x:c r="M78" s="2"/>
      <x:c r="N78" s="1"/>
      <x:c r="O78" s="12" t="str">
        <x:v>S04/S05, 2023 add-backs not separately adopted; no invented adjustment</x:v>
      </x:c>
    </x:row>
    <x:row r="79" ht="21" customHeight="1">
      <x:c r="A79" s="1"/>
      <x:c r="B79" s="1"/>
      <x:c r="C79" s="1" t="str">
        <x:v>Reorganisation and penalty add-back</x:v>
      </x:c>
      <x:c r="D79" s="11" t="n">
        <x:v>0</x:v>
      </x:c>
      <x:c r="E79" s="11" t="n">
        <x:v>15.315</x:v>
      </x:c>
      <x:c r="F79" s="11" t="n">
        <x:v>1.192</x:v>
      </x:c>
      <x:c r="G79" s="11" t="n">
        <x:v>0</x:v>
      </x:c>
      <x:c r="H79" s="11" t="n">
        <x:v>1.192</x:v>
      </x:c>
      <x:c r="I79" s="2"/>
      <x:c r="J79" s="2"/>
      <x:c r="K79" s="2"/>
      <x:c r="L79" s="2"/>
      <x:c r="M79" s="2"/>
      <x:c r="N79" s="1"/>
      <x:c r="O79" s="12" t="str">
        <x:v>S04/S05, 2023 add-backs not separately adopted; no invented adjustment</x:v>
      </x:c>
    </x:row>
    <x:row r="80" ht="21" customHeight="1">
      <x:c r="A80" s="1"/>
      <x:c r="B80" s="1"/>
      <x:c r="C80" s="1" t="str">
        <x:v>Reported EBIT plus D&amp;A</x:v>
      </x:c>
      <x:c r="D80" s="2" t="n">
        <x:f>D12+D26</x:f>
        <x:v>269.59199999999987</x:v>
      </x:c>
      <x:c r="E80" s="2" t="n">
        <x:f>E12+E26</x:f>
        <x:v>163.00200000000007</x:v>
      </x:c>
      <x:c r="F80" s="2" t="n">
        <x:f>F12+F26</x:f>
        <x:v>170.5129999999999</x:v>
      </x:c>
      <x:c r="G80" s="2" t="n">
        <x:f>G12+G26</x:f>
        <x:v>233.48599999999996</x:v>
      </x:c>
      <x:c r="H80" s="2" t="n">
        <x:f>H12+H26</x:f>
        <x:v>206.72600000000003</x:v>
      </x:c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 t="str">
        <x:v>Selected operating add-backs</x:v>
      </x:c>
      <x:c r="D81" s="2" t="n">
        <x:f>SUM(D76:D79)+D11</x:f>
        <x:v>0</x:v>
      </x:c>
      <x:c r="E81" s="2" t="n">
        <x:f>SUM(E76:E79)+E11</x:f>
        <x:v>71.328</x:v>
      </x:c>
      <x:c r="F81" s="2" t="n">
        <x:f>SUM(F76:F79)+F11</x:f>
        <x:v>410.625</x:v>
      </x:c>
      <x:c r="G81" s="2" t="n">
        <x:f>SUM(G76:G79)+G11</x:f>
        <x:v>117.417</x:v>
      </x:c>
      <x:c r="H81" s="2" t="n">
        <x:f>SUM(H76:H79)+H11</x:f>
        <x:v>61.851</x:v>
      </x:c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 t="str">
        <x:v>Normalised EBITDA, SBC retained</x:v>
      </x:c>
      <x:c r="D82" s="2" t="n">
        <x:f>D80+D81</x:f>
        <x:v>269.59199999999987</x:v>
      </x:c>
      <x:c r="E82" s="2" t="n">
        <x:f>E80+E81</x:f>
        <x:v>234.33000000000007</x:v>
      </x:c>
      <x:c r="F82" s="2" t="n">
        <x:f>F80+F81</x:f>
        <x:v>581.1379999999999</x:v>
      </x:c>
      <x:c r="G82" s="2" t="n">
        <x:f>G80+G81</x:f>
        <x:v>350.90299999999996</x:v>
      </x:c>
      <x:c r="H82" s="2" t="n">
        <x:f>H80+H81</x:f>
        <x:v>268.577</x:v>
      </x:c>
      <x:c r="I82" s="2"/>
      <x:c r="J82" s="2"/>
      <x:c r="K82" s="2"/>
      <x:c r="L82" s="2"/>
      <x:c r="M82" s="2"/>
      <x:c r="N82" s="1"/>
      <x:c r="O82" s="12" t="str">
        <x:v>Analyst definition: EBIT + D&amp;A + selected one-offs. SBC remains a recurring cost. Not company adjusted EBITDA.</x:v>
      </x:c>
    </x:row>
    <x:row r="83" ht="21" customHeight="1">
      <x:c r="A83" s="1"/>
      <x:c r="B83" s="1"/>
      <x:c r="C83" s="1" t="str">
        <x:v>Normalised EBITDA margin</x:v>
      </x:c>
      <x:c r="D83" s="18" t="n">
        <x:f>D82/D7</x:f>
        <x:v>0.204544109546636</x:v>
      </x:c>
      <x:c r="E83" s="18" t="n">
        <x:f>E82/E7</x:f>
        <x:v>0.1728569004816949</x:v>
      </x:c>
      <x:c r="F83" s="18" t="n">
        <x:f>F82/F7</x:f>
        <x:v>0.23104407520627018</x:v>
      </x:c>
      <x:c r="G83" s="18" t="n">
        <x:f>G82/G7</x:f>
        <x:v>0.21924038137128718</x:v>
      </x:c>
      <x:c r="H83" s="18" t="n">
        <x:f>H82/H7</x:f>
        <x:v>0.2513506810726836</x:v>
      </x:c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 t="str">
        <x:v>Normalised EBIT</x:v>
      </x:c>
      <x:c r="D84" s="2" t="n">
        <x:f>D12+D81</x:f>
        <x:v>266.3659999999999</x:v>
      </x:c>
      <x:c r="E84" s="2" t="n">
        <x:f>E12+E81</x:f>
        <x:v>227.05600000000007</x:v>
      </x:c>
      <x:c r="F84" s="2" t="n">
        <x:f>F12+F81</x:f>
        <x:v>551.6869999999999</x:v>
      </x:c>
      <x:c r="G84" s="2" t="n">
        <x:f>G12+G81</x:f>
        <x:v>331.66499999999996</x:v>
      </x:c>
      <x:c r="H84" s="2" t="n">
        <x:f>H12+H81</x:f>
        <x:v>256.84700000000004</x:v>
      </x:c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6BA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43" hidden="0" customWidth="1"/>
    <x:col min="5" max="5" width="23" hidden="0" customWidth="1"/>
    <x:col min="6" max="6" width="100" hidden="0" customWidth="1"/>
    <x:col min="7" max="7" width="66" hidden="0" customWidth="1"/>
    <x:col min="8" max="8" width="10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Dated public source register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Cutoff: 31 Aug 2026</x:v>
      </x:c>
      <x:c r="D3" s="6" t="str">
        <x:f>'Assumptions'!D4</x:f>
        <x:v>Base</x:v>
      </x:c>
      <x:c r="E3" s="2"/>
      <x:c r="F3" s="5" t="str">
        <x:v>No post-31 August information used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1" customHeight="1">
      <x:c r="A6" s="1"/>
      <x:c r="B6" s="1"/>
      <x:c r="C6" s="1" t="str">
        <x:v>ID</x:v>
      </x:c>
      <x:c r="D6" s="2" t="str">
        <x:v>Document</x:v>
      </x:c>
      <x:c r="E6" s="2" t="str">
        <x:v>Publication / price date</x:v>
      </x:c>
      <x:c r="F6" s="2" t="str">
        <x:v>URL</x:v>
      </x:c>
      <x:c r="G6" s="2" t="str">
        <x:v>Section / page</x:v>
      </x:c>
      <x:c r="H6" s="2" t="str">
        <x:v>Model use</x:v>
      </x:c>
      <x:c r="I6" s="2"/>
      <x:c r="J6" s="2"/>
      <x:c r="K6" s="2"/>
      <x:c r="L6" s="2"/>
      <x:c r="M6" s="2"/>
      <x:c r="N6" s="1"/>
      <x:c r="O6" s="1"/>
    </x:row>
    <x:row r="7" ht="36" customHeight="1">
      <x:c r="A7" s="1"/>
      <x:c r="B7" s="1"/>
      <x:c r="C7" s="1" t="str">
        <x:v>S01</x:v>
      </x:c>
      <x:c r="D7" s="38" t="str">
        <x:v>Celsius FY2025 10-K</x:v>
      </x:c>
      <x:c r="E7" s="38" t="str">
        <x:v>2026-03-02</x:v>
      </x:c>
      <x:c r="F7" s="38" t="str">
        <x:v>https://www.sec.gov/Archives/edgar/data/1341766/000134176626000024/celh-20251231.htm</x:v>
      </x:c>
      <x:c r="G7" s="38" t="str">
        <x:v>F-6 to F-11; notes 2, 4, 5, 7, 11-16</x:v>
      </x:c>
      <x:c r="H7" s="38" t="str">
        <x:v>FY2023-25 IS/CF, FY2024-25 BS, acquisitions, restated presentation</x:v>
      </x:c>
      <x:c r="I7" s="2"/>
      <x:c r="J7" s="2"/>
      <x:c r="K7" s="2"/>
      <x:c r="L7" s="2"/>
      <x:c r="M7" s="2"/>
      <x:c r="N7" s="1"/>
      <x:c r="O7" s="1"/>
    </x:row>
    <x:row r="8" ht="36" customHeight="1">
      <x:c r="A8" s="1"/>
      <x:c r="B8" s="1"/>
      <x:c r="C8" s="1" t="str">
        <x:v>S02</x:v>
      </x:c>
      <x:c r="D8" s="38" t="str">
        <x:v>Celsius FY2024 10-K</x:v>
      </x:c>
      <x:c r="E8" s="38" t="str">
        <x:v>2025-03-03</x:v>
      </x:c>
      <x:c r="F8" s="38" t="str">
        <x:v>https://www.sec.gov/Archives/edgar/data/1341766/000134176625000024/celh-20241231.htm</x:v>
      </x:c>
      <x:c r="G8" s="38" t="str">
        <x:v>F-5 balance sheet</x:v>
      </x:c>
      <x:c r="H8" s="38" t="str">
        <x:v>FY2023 balance sheet; use FY2025 comparative IS/CF for later presentation</x:v>
      </x:c>
      <x:c r="I8" s="2"/>
      <x:c r="J8" s="2"/>
      <x:c r="K8" s="2"/>
      <x:c r="L8" s="2"/>
      <x:c r="M8" s="2"/>
      <x:c r="N8" s="1"/>
      <x:c r="O8" s="1"/>
    </x:row>
    <x:row r="9" ht="36" customHeight="1">
      <x:c r="A9" s="1"/>
      <x:c r="B9" s="1"/>
      <x:c r="C9" s="1" t="str">
        <x:v>S03</x:v>
      </x:c>
      <x:c r="D9" s="38" t="str">
        <x:v>Celsius H1 2026 10-Q</x:v>
      </x:c>
      <x:c r="E9" s="38" t="str">
        <x:v>2026-08-06</x:v>
      </x:c>
      <x:c r="F9" s="38" t="str">
        <x:v>https://www.sec.gov/Archives/edgar/data/1341766/000134176626000050/celh-20260630.htm</x:v>
      </x:c>
      <x:c r="G9" s="38" t="str">
        <x:v>pp. 5-11, notes 4-7, 10-15, 18; cover</x:v>
      </x:c>
      <x:c r="H9" s="38" t="str">
        <x:v>H1 financials, debt, preferred rights, award count and July common shares</x:v>
      </x:c>
      <x:c r="I9" s="2"/>
      <x:c r="J9" s="2"/>
      <x:c r="K9" s="2"/>
      <x:c r="L9" s="2"/>
      <x:c r="M9" s="2"/>
      <x:c r="N9" s="1"/>
      <x:c r="O9" s="1"/>
    </x:row>
    <x:row r="10" ht="36" customHeight="1">
      <x:c r="A10" s="1"/>
      <x:c r="B10" s="1"/>
      <x:c r="C10" s="1" t="str">
        <x:v>S04</x:v>
      </x:c>
      <x:c r="D10" s="38" t="str">
        <x:v>Celsius Q2 2026 earnings release</x:v>
      </x:c>
      <x:c r="E10" s="38" t="str">
        <x:v>2026-08-06</x:v>
      </x:c>
      <x:c r="F10" s="38" t="str">
        <x:v>https://www.sec.gov/Archives/edgar/data/1341766/000134176626000047/ex9912q2026.htm</x:v>
      </x:c>
      <x:c r="G10" s="38" t="str">
        <x:v>Financial highlights and non-GAAP reconciliations</x:v>
      </x:c>
      <x:c r="H10" s="38" t="str">
        <x:v>H1 Alani/Rockstar revenue; normalisation</x:v>
      </x:c>
      <x:c r="I10" s="2"/>
      <x:c r="J10" s="2"/>
      <x:c r="K10" s="2"/>
      <x:c r="L10" s="2"/>
      <x:c r="M10" s="2"/>
      <x:c r="N10" s="1"/>
      <x:c r="O10" s="1"/>
    </x:row>
    <x:row r="11" ht="36" customHeight="1">
      <x:c r="A11" s="1"/>
      <x:c r="B11" s="1"/>
      <x:c r="C11" s="1" t="str">
        <x:v>S05</x:v>
      </x:c>
      <x:c r="D11" s="38" t="str">
        <x:v>Celsius FY2025 earnings release</x:v>
      </x:c>
      <x:c r="E11" s="38" t="str">
        <x:v>2026-02-26</x:v>
      </x:c>
      <x:c r="F11" s="38" t="str">
        <x:v>https://ir.celsiusholdingsinc.com/news/news-details/2026/Celsius-Holdings-Reports-Full-Year-2025-and-Fourth-Quarter-Financial-Results/default.aspx</x:v>
      </x:c>
      <x:c r="G11" s="38" t="str">
        <x:v>Reconciliation of EBITDA and adjusted SG&amp;A</x:v>
      </x:c>
      <x:c r="H11" s="38" t="str">
        <x:v>FY2024-25 one-off adjustments; release presentation differs from subsequent 10-K</x:v>
      </x:c>
      <x:c r="I11" s="2"/>
      <x:c r="J11" s="2"/>
      <x:c r="K11" s="2"/>
      <x:c r="L11" s="2"/>
      <x:c r="M11" s="2"/>
      <x:c r="N11" s="1"/>
      <x:c r="O11" s="1"/>
    </x:row>
    <x:row r="12" ht="36" customHeight="1">
      <x:c r="A12" s="1"/>
      <x:c r="B12" s="1"/>
      <x:c r="C12" s="1" t="str">
        <x:v>S06</x:v>
      </x:c>
      <x:c r="D12" s="38" t="str">
        <x:v>PepsiCo / Celsius securities purchase agreement</x:v>
      </x:c>
      <x:c r="E12" s="38" t="str">
        <x:v>2025-08-29</x:v>
      </x:c>
      <x:c r="F12" s="38" t="str">
        <x:v>https://www.sec.gov/Archives/edgar/data/1341766/000119312525192888/d877718dex101.htm</x:v>
      </x:c>
      <x:c r="G12" s="38" t="str">
        <x:v>Agreement dated 28 Aug; sections 5.3, 5.7-5.9</x:v>
      </x:c>
      <x:c r="H12" s="38" t="str">
        <x:v>Board rights, standstill, process notice, private proposals, pre-emption, 17.5% cap</x:v>
      </x:c>
      <x:c r="I12" s="2"/>
      <x:c r="J12" s="2"/>
      <x:c r="K12" s="2"/>
      <x:c r="L12" s="2"/>
      <x:c r="M12" s="2"/>
      <x:c r="N12" s="1"/>
      <x:c r="O12" s="1"/>
    </x:row>
    <x:row r="13" ht="36" customHeight="1">
      <x:c r="A13" s="1"/>
      <x:c r="B13" s="1"/>
      <x:c r="C13" s="1" t="str">
        <x:v>S07</x:v>
      </x:c>
      <x:c r="D13" s="38" t="str">
        <x:v>Celsius transaction 8-K</x:v>
      </x:c>
      <x:c r="E13" s="38" t="str">
        <x:v>2025-08-29</x:v>
      </x:c>
      <x:c r="F13" s="38" t="str">
        <x:v>https://www.sec.gov/Archives/edgar/data/1341766/000119312525192888/d877718d8k.htm</x:v>
      </x:c>
      <x:c r="G13" s="38" t="str">
        <x:v>Items 1.01 and 3.02; exhibits</x:v>
      </x:c>
      <x:c r="H13" s="38" t="str">
        <x:v>2025 relationship expansion, Series B issuance, distribution</x:v>
      </x:c>
      <x:c r="I13" s="2"/>
      <x:c r="J13" s="2"/>
      <x:c r="K13" s="2"/>
      <x:c r="L13" s="2"/>
      <x:c r="M13" s="2"/>
      <x:c r="N13" s="1"/>
      <x:c r="O13" s="1"/>
    </x:row>
    <x:row r="14" ht="36" customHeight="1">
      <x:c r="A14" s="1"/>
      <x:c r="B14" s="1"/>
      <x:c r="C14" s="1" t="str">
        <x:v>S08</x:v>
      </x:c>
      <x:c r="D14" s="38" t="str">
        <x:v>PepsiCo FY2025 10-K</x:v>
      </x:c>
      <x:c r="E14" s="38" t="str">
        <x:v>2026-02-03</x:v>
      </x:c>
      <x:c r="F14" s="38" t="str">
        <x:v>https://www.sec.gov/Archives/edgar/data/77476/000007747626000007/pep-20251227.htm</x:v>
      </x:c>
      <x:c r="G14" s="38" t="str">
        <x:v>Consolidated income and cash flows; notes 4, 9</x:v>
      </x:c>
      <x:c r="H14" s="38" t="str">
        <x:v>FY2025 earnings, D&amp;A, interest; Poppi consideration</x:v>
      </x:c>
      <x:c r="I14" s="2"/>
      <x:c r="J14" s="2"/>
      <x:c r="K14" s="2"/>
      <x:c r="L14" s="2"/>
      <x:c r="M14" s="2"/>
      <x:c r="N14" s="1"/>
      <x:c r="O14" s="1"/>
    </x:row>
    <x:row r="15" ht="36" customHeight="1">
      <x:c r="A15" s="1"/>
      <x:c r="B15" s="1"/>
      <x:c r="C15" s="1" t="str">
        <x:v>S09</x:v>
      </x:c>
      <x:c r="D15" s="38" t="str">
        <x:v>PepsiCo Q2 2026 10-Q</x:v>
      </x:c>
      <x:c r="E15" s="38" t="str">
        <x:v>2026-07-09</x:v>
      </x:c>
      <x:c r="F15" s="38" t="str">
        <x:v>https://www.sec.gov/Archives/edgar/data/77476/000007747626000035/pep-20260613.htm</x:v>
      </x:c>
      <x:c r="G15" s="38" t="str">
        <x:v>Statements; notes 8 and 9; cover</x:v>
      </x:c>
      <x:c r="H15" s="38" t="str">
        <x:v>24-week P&amp;L, latest debt/cash, diluted shares, existing investment fair value</x:v>
      </x:c>
      <x:c r="I15" s="2"/>
      <x:c r="J15" s="2"/>
      <x:c r="K15" s="2"/>
      <x:c r="L15" s="2"/>
      <x:c r="M15" s="2"/>
      <x:c r="N15" s="1"/>
      <x:c r="O15" s="1"/>
    </x:row>
    <x:row r="16" ht="36" customHeight="1">
      <x:c r="A16" s="1"/>
      <x:c r="B16" s="1"/>
      <x:c r="C16" s="1" t="str">
        <x:v>S10</x:v>
      </x:c>
      <x:c r="D16" s="38" t="str">
        <x:v>Monster FY2025 10-K</x:v>
      </x:c>
      <x:c r="E16" s="38" t="str">
        <x:v>2026-02-27</x:v>
      </x:c>
      <x:c r="F16" s="38" t="str">
        <x:v>https://www.sec.gov/Archives/edgar/data/865752/000110465926020831/mnst-20251231x10k.htm</x:v>
      </x:c>
      <x:c r="G16" s="38" t="str">
        <x:v>Consolidated income and cash flow statements</x:v>
      </x:c>
      <x:c r="H16" s="38" t="str">
        <x:v>FY2025 revenue, EBIT, D&amp;A</x:v>
      </x:c>
      <x:c r="I16" s="2"/>
      <x:c r="J16" s="2"/>
      <x:c r="K16" s="2"/>
      <x:c r="L16" s="2"/>
      <x:c r="M16" s="2"/>
      <x:c r="N16" s="1"/>
      <x:c r="O16" s="1"/>
    </x:row>
    <x:row r="17" ht="36" customHeight="1">
      <x:c r="A17" s="1"/>
      <x:c r="B17" s="1"/>
      <x:c r="C17" s="1" t="str">
        <x:v>S11</x:v>
      </x:c>
      <x:c r="D17" s="38" t="str">
        <x:v>Monster Q2 2026 10-Q</x:v>
      </x:c>
      <x:c r="E17" s="38" t="str">
        <x:v>2026-08-07</x:v>
      </x:c>
      <x:c r="F17" s="38" t="str">
        <x:v>https://www.sec.gov/Archives/edgar/data/865752/000110465926092193/mnst-20260630x10q.htm</x:v>
      </x:c>
      <x:c r="G17" s="38" t="str">
        <x:v>pp. 3-7; subsequent events; cover</x:v>
      </x:c>
      <x:c r="H17" s="38" t="str">
        <x:v>H1 EBIT, revenue, D&amp;A, cash/securities, shares; 2:1 split effective 11 Aug</x:v>
      </x:c>
      <x:c r="I17" s="2"/>
      <x:c r="J17" s="2"/>
      <x:c r="K17" s="2"/>
      <x:c r="L17" s="2"/>
      <x:c r="M17" s="2"/>
      <x:c r="N17" s="1"/>
      <x:c r="O17" s="1"/>
    </x:row>
    <x:row r="18" ht="36" customHeight="1">
      <x:c r="A18" s="1"/>
      <x:c r="B18" s="1"/>
      <x:c r="C18" s="1" t="str">
        <x:v>S12</x:v>
      </x:c>
      <x:c r="D18" s="38" t="str">
        <x:v>Coca-Cola FY2025 10-K</x:v>
      </x:c>
      <x:c r="E18" s="38" t="str">
        <x:v>2026-02-20</x:v>
      </x:c>
      <x:c r="F18" s="38" t="str">
        <x:v>https://www.sec.gov/Archives/edgar/data/21344/000162828026010047/ko-20251231.htm</x:v>
      </x:c>
      <x:c r="G18" s="38" t="str">
        <x:v>Consolidated statements</x:v>
      </x:c>
      <x:c r="H18" s="38" t="str">
        <x:v>FY2025 revenue, EBIT, D&amp;A</x:v>
      </x:c>
      <x:c r="I18" s="2"/>
      <x:c r="J18" s="2"/>
      <x:c r="K18" s="2"/>
      <x:c r="L18" s="2"/>
      <x:c r="M18" s="2"/>
      <x:c r="N18" s="1"/>
      <x:c r="O18" s="1"/>
    </x:row>
    <x:row r="19" ht="36" customHeight="1">
      <x:c r="A19" s="1"/>
      <x:c r="B19" s="1"/>
      <x:c r="C19" s="1" t="str">
        <x:v>S13</x:v>
      </x:c>
      <x:c r="D19" s="38" t="str">
        <x:v>Coca-Cola Q2 2026 10-Q</x:v>
      </x:c>
      <x:c r="E19" s="38" t="str">
        <x:v>2026-07-29</x:v>
      </x:c>
      <x:c r="F19" s="38" t="str">
        <x:v>https://www.sec.gov/Archives/edgar/data/21344/000162828026050503/ko-20260703.htm</x:v>
      </x:c>
      <x:c r="G19" s="38" t="str">
        <x:v>Statements; cover</x:v>
      </x:c>
      <x:c r="H19" s="38" t="str">
        <x:v>H1 results, latest capitalisation; held-for-sale limitations</x:v>
      </x:c>
      <x:c r="I19" s="2"/>
      <x:c r="J19" s="2"/>
      <x:c r="K19" s="2"/>
      <x:c r="L19" s="2"/>
      <x:c r="M19" s="2"/>
      <x:c r="N19" s="1"/>
      <x:c r="O19" s="1"/>
    </x:row>
    <x:row r="20" ht="36" customHeight="1">
      <x:c r="A20" s="1"/>
      <x:c r="B20" s="1"/>
      <x:c r="C20" s="1" t="str">
        <x:v>S14</x:v>
      </x:c>
      <x:c r="D20" s="38" t="str">
        <x:v>CELH historical closing prices</x:v>
      </x:c>
      <x:c r="E20" s="38" t="str">
        <x:v>2026-08-31</x:v>
      </x:c>
      <x:c r="F20" s="38" t="str">
        <x:v>https://stockanalysis.com/stocks/celh/history/</x:v>
      </x:c>
      <x:c r="G20" s="38" t="str">
        <x:v>31 Aug 2026 row, Close column</x:v>
      </x:c>
      <x:c r="H20" s="38" t="str">
        <x:v>USD31.45 unadjusted close; dynamic page retrieved 21 Sep; ignore later dates</x:v>
      </x:c>
      <x:c r="I20" s="2"/>
      <x:c r="J20" s="2"/>
      <x:c r="K20" s="2"/>
      <x:c r="L20" s="2"/>
      <x:c r="M20" s="2"/>
      <x:c r="N20" s="1"/>
      <x:c r="O20" s="1"/>
    </x:row>
    <x:row r="21" ht="36" customHeight="1">
      <x:c r="A21" s="1"/>
      <x:c r="B21" s="1"/>
      <x:c r="C21" s="1" t="str">
        <x:v>S15</x:v>
      </x:c>
      <x:c r="D21" s="38" t="str">
        <x:v>PEP historical closing prices</x:v>
      </x:c>
      <x:c r="E21" s="38" t="str">
        <x:v>2026-08-31</x:v>
      </x:c>
      <x:c r="F21" s="38" t="str">
        <x:v>https://stockanalysis.com/stocks/pep/history/</x:v>
      </x:c>
      <x:c r="G21" s="38" t="str">
        <x:v>31 Aug 2026 row, Close column</x:v>
      </x:c>
      <x:c r="H21" s="38" t="str">
        <x:v>USD140.34 unadjusted close, not dividend-adjusted close</x:v>
      </x:c>
      <x:c r="I21" s="2"/>
      <x:c r="J21" s="2"/>
      <x:c r="K21" s="2"/>
      <x:c r="L21" s="2"/>
      <x:c r="M21" s="2"/>
      <x:c r="N21" s="1"/>
      <x:c r="O21" s="1"/>
    </x:row>
    <x:row r="22" ht="36" customHeight="1">
      <x:c r="A22" s="1"/>
      <x:c r="B22" s="1"/>
      <x:c r="C22" s="1" t="str">
        <x:v>S16</x:v>
      </x:c>
      <x:c r="D22" s="38" t="str">
        <x:v>MNST historical closing prices</x:v>
      </x:c>
      <x:c r="E22" s="38" t="str">
        <x:v>2026-08-31</x:v>
      </x:c>
      <x:c r="F22" s="38" t="str">
        <x:v>https://stockanalysis.com/stocks/mnst/history/</x:v>
      </x:c>
      <x:c r="G22" s="38" t="str">
        <x:v>31 Aug 2026 row, Close column</x:v>
      </x:c>
      <x:c r="H22" s="38" t="str">
        <x:v>USD45.92 post-split price</x:v>
      </x:c>
      <x:c r="I22" s="2"/>
      <x:c r="J22" s="2"/>
      <x:c r="K22" s="2"/>
      <x:c r="L22" s="2"/>
      <x:c r="M22" s="2"/>
      <x:c r="N22" s="1"/>
      <x:c r="O22" s="1"/>
    </x:row>
    <x:row r="23" ht="36" customHeight="1">
      <x:c r="A23" s="1"/>
      <x:c r="B23" s="1"/>
      <x:c r="C23" s="1" t="str">
        <x:v>S17</x:v>
      </x:c>
      <x:c r="D23" s="38" t="str">
        <x:v>KO historical closing prices</x:v>
      </x:c>
      <x:c r="E23" s="38" t="str">
        <x:v>2026-08-31</x:v>
      </x:c>
      <x:c r="F23" s="38" t="str">
        <x:v>https://stockanalysis.com/stocks/ko/history/</x:v>
      </x:c>
      <x:c r="G23" s="38" t="str">
        <x:v>31 Aug 2026 row, Close column</x:v>
      </x:c>
      <x:c r="H23" s="38" t="str">
        <x:v>USD88.67 unadjusted close</x:v>
      </x:c>
      <x:c r="I23" s="2"/>
      <x:c r="J23" s="2"/>
      <x:c r="K23" s="2"/>
      <x:c r="L23" s="2"/>
      <x:c r="M23" s="2"/>
      <x:c r="N23" s="1"/>
      <x:c r="O23" s="1"/>
    </x:row>
    <x:row r="24" ht="36" customHeight="1">
      <x:c r="A24" s="1"/>
      <x:c r="B24" s="1"/>
      <x:c r="C24" s="1" t="str">
        <x:v>S18</x:v>
      </x:c>
      <x:c r="D24" s="38" t="str">
        <x:v>US Treasury daily par yields</x:v>
      </x:c>
      <x:c r="E24" s="38" t="str">
        <x:v>2026-08-31</x:v>
      </x:c>
      <x:c r="F24" s="38" t="str">
        <x:v>https://home.treasury.gov/resource-center/data-chart-center/interest-rates/TextView?field_tdr_date_value=202608&amp;type=daily_treasury_yield_curve</x:v>
      </x:c>
      <x:c r="G24" s="38" t="str">
        <x:v>31 Aug 2026 row, 10 Yr column</x:v>
      </x:c>
      <x:c r="H24" s="38" t="str">
        <x:v>4.75% nominal risk-free benchmark</x:v>
      </x:c>
      <x:c r="I24" s="2"/>
      <x:c r="J24" s="2"/>
      <x:c r="K24" s="2"/>
      <x:c r="L24" s="2"/>
      <x:c r="M24" s="2"/>
      <x:c r="N24" s="1"/>
      <x:c r="O24" s="1"/>
    </x:row>
    <x:row r="25" ht="36" customHeight="1">
      <x:c r="A25" s="1"/>
      <x:c r="B25" s="1"/>
      <x:c r="C25" s="1" t="str">
        <x:v>S19</x:v>
      </x:c>
      <x:c r="D25" s="38" t="str">
        <x:v>Alani Nu acquisition announcement</x:v>
      </x:c>
      <x:c r="E25" s="38" t="str">
        <x:v>2025-02-20</x:v>
      </x:c>
      <x:c r="F25" s="38" t="str">
        <x:v>https://ir.celsiusholdingsinc.com/news/news-details/2025/Celsius-Holdings-to-Acquire-Alani-Nu-Creating-a-Leading-Better-For-You-Functional-Lifestyle-Platform/default.aspx</x:v>
      </x:c>
      <x:c r="G25" s="38" t="str">
        <x:v>Transaction terms and financial highlights</x:v>
      </x:c>
      <x:c r="H25" s="38" t="str">
        <x:v>USD1.8bn headline; USD595m revenue; USD137m fully synergised EBITDA</x:v>
      </x:c>
      <x:c r="I25" s="2"/>
      <x:c r="J25" s="2"/>
      <x:c r="K25" s="2"/>
      <x:c r="L25" s="2"/>
      <x:c r="M25" s="2"/>
      <x:c r="N25" s="1"/>
      <x:c r="O25" s="1"/>
    </x:row>
    <x:row r="26" ht="36" customHeight="1">
      <x:c r="A26" s="1"/>
      <x:c r="B26" s="1"/>
      <x:c r="C26" s="1" t="str">
        <x:v>S20</x:v>
      </x:c>
      <x:c r="D26" s="38" t="str">
        <x:v>Alani acquisition agreement 8-K</x:v>
      </x:c>
      <x:c r="E26" s="38" t="str">
        <x:v>2025-02-20</x:v>
      </x:c>
      <x:c r="F26" s="38" t="str">
        <x:v>https://www.sec.gov/Archives/edgar/data/1341766/000134176625000018/celh-20250220.htm</x:v>
      </x:c>
      <x:c r="G26" s="38" t="str">
        <x:v>Item 1.01</x:v>
      </x:c>
      <x:c r="H26" s="38" t="str">
        <x:v>USD1,275m cash, 22.451224m shares, up to USD25m earn-out</x:v>
      </x:c>
      <x:c r="I26" s="2"/>
      <x:c r="J26" s="2"/>
      <x:c r="K26" s="2"/>
      <x:c r="L26" s="2"/>
      <x:c r="M26" s="2"/>
      <x:c r="N26" s="1"/>
      <x:c r="O26" s="1"/>
    </x:row>
    <x:row r="27" ht="36" customHeight="1">
      <x:c r="A27" s="1"/>
      <x:c r="B27" s="1"/>
      <x:c r="C27" s="1" t="str">
        <x:v>S21</x:v>
      </x:c>
      <x:c r="D27" s="38" t="str">
        <x:v>PepsiCo Poppi closing announcement</x:v>
      </x:c>
      <x:c r="E27" s="38" t="str">
        <x:v>2025-05-19</x:v>
      </x:c>
      <x:c r="F27" s="38" t="str">
        <x:v>https://www.pepsico.com/newsroom/press-releases/2025/pepsico-completes-acquisition-of-poppi-accelerating-strategic-portfolio-transformation</x:v>
      </x:c>
      <x:c r="G27" s="38" t="str">
        <x:v>Purchase terms</x:v>
      </x:c>
      <x:c r="H27" s="38" t="str">
        <x:v>USD1.95bn cash, USD300m expected tax benefit; contingent payment see S08</x:v>
      </x:c>
      <x:c r="I27" s="2"/>
      <x:c r="J27" s="2"/>
      <x:c r="K27" s="2"/>
      <x:c r="L27" s="2"/>
      <x:c r="M27" s="2"/>
      <x:c r="N27" s="1"/>
      <x:c r="O27" s="1"/>
    </x:row>
    <x:row r="28" ht="36" customHeight="1">
      <x:c r="A28" s="1"/>
      <x:c r="B28" s="1"/>
      <x:c r="C28" s="1" t="str">
        <x:v>S22</x:v>
      </x:c>
      <x:c r="D28" s="38" t="str">
        <x:v>PepsiCo Rockstar announcement</x:v>
      </x:c>
      <x:c r="E28" s="38" t="str">
        <x:v>2020-03-11</x:v>
      </x:c>
      <x:c r="F28" s="38" t="str">
        <x:v>https://www.pepsico.com/newsroom/press-releases/2020/pepsico-to-acquire-rockstar-expanding-presence-in-fast-growing-energy-category</x:v>
      </x:c>
      <x:c r="G28" s="38" t="str">
        <x:v>Transaction terms</x:v>
      </x:c>
      <x:c r="H28" s="38" t="str">
        <x:v>USD3.85bn upfront for control; financial denominator unavailable</x:v>
      </x:c>
      <x:c r="I28" s="2"/>
      <x:c r="J28" s="2"/>
      <x:c r="K28" s="2"/>
      <x:c r="L28" s="2"/>
      <x:c r="M28" s="2"/>
      <x:c r="N28" s="1"/>
      <x:c r="O28" s="1"/>
    </x:row>
    <x:row r="29" ht="36" customHeight="1">
      <x:c r="A29" s="1"/>
      <x:c r="B29" s="1"/>
      <x:c r="C29" s="1" t="str">
        <x:v>S23</x:v>
      </x:c>
      <x:c r="D29" s="38" t="str">
        <x:v>PepsiCo 2020 Q1 10-Q</x:v>
      </x:c>
      <x:c r="E29" s="38" t="str">
        <x:v>2020-04-28</x:v>
      </x:c>
      <x:c r="F29" s="38" t="str">
        <x:v>https://www.sec.gov/Archives/edgar/data/77476/000007747620000041/pepsicoq1-10xq2020.htm</x:v>
      </x:c>
      <x:c r="G29" s="38" t="str">
        <x:v>Subsequent event, Rockstar acquisition</x:v>
      </x:c>
      <x:c r="H29" s="38" t="str">
        <x:v>USD0.7bn contingent tax-benefit consideration in addition to upfront price</x:v>
      </x:c>
      <x:c r="I29" s="2"/>
      <x:c r="J29" s="2"/>
      <x:c r="K29" s="2"/>
      <x:c r="L29" s="2"/>
      <x:c r="M29" s="2"/>
      <x:c r="N29" s="1"/>
      <x:c r="O29" s="1"/>
    </x:row>
    <x:row r="30" ht="36" customHeight="1">
      <x:c r="A30" s="1"/>
      <x:c r="B30" s="1"/>
      <x:c r="C30" s="1" t="str">
        <x:v>S24</x:v>
      </x:c>
      <x:c r="D30" s="38" t="str">
        <x:v>Coca-Cola BODYARMOR acquisition</x:v>
      </x:c>
      <x:c r="E30" s="38" t="str">
        <x:v>2021-11-01</x:v>
      </x:c>
      <x:c r="F30" s="38" t="str">
        <x:v>https://investors.coca-colacompany.com/news-events/press-releases/detail/1041/the-coca-cola-company-acquires-remaining-stake-in-bodyarmor</x:v>
      </x:c>
      <x:c r="G30" s="38" t="str">
        <x:v>Acquisition terms</x:v>
      </x:c>
      <x:c r="H30" s="38" t="str">
        <x:v>USD5.6bn cash for remaining 85%; retail sales not net revenue</x:v>
      </x:c>
      <x:c r="I30" s="2"/>
      <x:c r="J30" s="2"/>
      <x:c r="K30" s="2"/>
      <x:c r="L30" s="2"/>
      <x:c r="M30" s="2"/>
      <x:c r="N30" s="1"/>
      <x:c r="O30" s="1"/>
    </x:row>
    <x:row r="31" ht="36" customHeight="1">
      <x:c r="A31" s="1"/>
      <x:c r="B31" s="1"/>
      <x:c r="C31" s="1" t="str">
        <x:v>S25</x:v>
      </x:c>
      <x:c r="D31" s="38" t="str">
        <x:v>CELH closing price cross-check</x:v>
      </x:c>
      <x:c r="E31" s="38" t="str">
        <x:v>2026-08-31</x:v>
      </x:c>
      <x:c r="F31" s="38" t="str">
        <x:v>https://ca.investing.com/equities/celsius-holdings-historical-data</x:v>
      </x:c>
      <x:c r="G31" s="38" t="str">
        <x:v>31 Aug 2026 row</x:v>
      </x:c>
      <x:c r="H31" s="38" t="str">
        <x:v>Independent confirmation of USD31.45 close</x:v>
      </x:c>
      <x:c r="I31" s="2"/>
      <x:c r="J31" s="2"/>
      <x:c r="K31" s="2"/>
      <x:c r="L31" s="2"/>
      <x:c r="M31" s="2"/>
      <x:c r="N31" s="1"/>
      <x:c r="O31" s="1"/>
    </x:row>
    <x:row r="32" ht="36" customHeight="1">
      <x:c r="A32" s="1"/>
      <x:c r="B32" s="1"/>
      <x:c r="C32" s="1"/>
      <x:c r="D32" s="38"/>
      <x:c r="E32" s="38"/>
      <x:c r="F32" s="38"/>
      <x:c r="G32" s="38"/>
      <x:c r="H32" s="38"/>
      <x:c r="I32" s="2"/>
      <x:c r="J32" s="2"/>
      <x:c r="K32" s="2"/>
      <x:c r="L32" s="2"/>
      <x:c r="M32" s="2"/>
      <x:c r="N32" s="1"/>
      <x:c r="O32" s="1"/>
    </x:row>
    <x:row r="33" ht="36" customHeight="1">
      <x:c r="A33" s="1"/>
      <x:c r="B33" s="1"/>
      <x:c r="C33" s="1"/>
      <x:c r="D33" s="38"/>
      <x:c r="E33" s="38"/>
      <x:c r="F33" s="38"/>
      <x:c r="G33" s="38"/>
      <x:c r="H33" s="38"/>
      <x:c r="I33" s="2"/>
      <x:c r="J33" s="2"/>
      <x:c r="K33" s="2"/>
      <x:c r="L33" s="2"/>
      <x:c r="M33" s="2"/>
      <x:c r="N33" s="1"/>
      <x:c r="O33" s="1"/>
    </x:row>
    <x:row r="34" ht="36" customHeight="1">
      <x:c r="A34" s="1"/>
      <x:c r="B34" s="1"/>
      <x:c r="C34" s="1"/>
      <x:c r="D34" s="38"/>
      <x:c r="E34" s="38"/>
      <x:c r="F34" s="38"/>
      <x:c r="G34" s="38"/>
      <x:c r="H34" s="38"/>
      <x:c r="I34" s="2"/>
      <x:c r="J34" s="2"/>
      <x:c r="K34" s="2"/>
      <x:c r="L34" s="2"/>
      <x:c r="M34" s="2"/>
      <x:c r="N34" s="1"/>
      <x:c r="O34" s="1"/>
    </x:row>
    <x:row r="35" ht="36" customHeight="1">
      <x:c r="A35" s="1"/>
      <x:c r="B35" s="1"/>
      <x:c r="C35" s="1"/>
      <x:c r="D35" s="38"/>
      <x:c r="E35" s="38"/>
      <x:c r="F35" s="38"/>
      <x:c r="G35" s="38"/>
      <x:c r="H35" s="38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mergeCells>
    <x:mergeCell ref="C3:E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6BA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Reconciliations and control tests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27" customHeight="1">
      <x:c r="A6" s="1"/>
      <x:c r="B6" s="1"/>
      <x:c r="C6" s="9"/>
      <x:c r="D6" s="10" t="str">
        <x:v>FY2023 A</x:v>
      </x:c>
      <x:c r="E6" s="10" t="str">
        <x:v>FY2024 A</x:v>
      </x:c>
      <x:c r="F6" s="10" t="str">
        <x:v>FY2025 A</x:v>
      </x:c>
      <x:c r="G6" s="10" t="str">
        <x:v>H1 2026 A</x:v>
      </x:c>
      <x:c r="H6" s="10" t="str">
        <x:v>H2 2026 E</x:v>
      </x:c>
      <x:c r="I6" s="10" t="str">
        <x:v>FY2026 E</x:v>
      </x:c>
      <x:c r="J6" s="10" t="str">
        <x:v>FY2027 E</x:v>
      </x:c>
      <x:c r="K6" s="10" t="str">
        <x:v>FY2028 E</x:v>
      </x:c>
      <x:c r="L6" s="10" t="str">
        <x:v>FY2029 E</x:v>
      </x:c>
      <x:c r="M6" s="10" t="str">
        <x:v>FY2030 E</x:v>
      </x:c>
      <x:c r="N6" s="1"/>
      <x:c r="O6" s="1"/>
    </x:row>
    <x:row r="7" ht="21" customHeight="1">
      <x:c r="A7" s="1"/>
      <x:c r="B7" s="1"/>
      <x:c r="C7" s="1" t="str">
        <x:v>Balance sheet difference</x:v>
      </x:c>
      <x:c r="D7" s="37" t="n">
        <x:f>'Statements'!D53-'Statements'!D70</x:f>
        <x:v>0</x:v>
      </x:c>
      <x:c r="E7" s="37" t="n">
        <x:f>'Statements'!E53-'Statements'!E70</x:f>
        <x:v>-2.2737367544323206e-13</x:v>
      </x:c>
      <x:c r="F7" s="37" t="n">
        <x:f>'Statements'!F53-'Statements'!F70</x:f>
        <x:v>0</x:v>
      </x:c>
      <x:c r="G7" s="37" t="n">
        <x:f>'Statements'!G53-'Statements'!G70</x:f>
        <x:v>0</x:v>
      </x:c>
      <x:c r="H7" s="37" t="n">
        <x:f>'Statements'!H53-'Statements'!H70</x:f>
        <x:v>0</x:v>
      </x:c>
      <x:c r="I7" s="37" t="n">
        <x:f>'Statements'!I53-'Statements'!I70</x:f>
        <x:v>0</x:v>
      </x:c>
      <x:c r="J7" s="37" t="n">
        <x:f>'Statements'!J53-'Statements'!J70</x:f>
        <x:v>0</x:v>
      </x:c>
      <x:c r="K7" s="37" t="n">
        <x:f>'Statements'!K53-'Statements'!K70</x:f>
        <x:v>0</x:v>
      </x:c>
      <x:c r="L7" s="37" t="n">
        <x:f>'Statements'!L53-'Statements'!L70</x:f>
        <x:v>-9.094947017729282e-13</x:v>
      </x:c>
      <x:c r="M7" s="37" t="n">
        <x:f>'Statements'!M53-'Statements'!M70</x:f>
        <x:v>-9.094947017729282e-13</x:v>
      </x:c>
      <x:c r="N7" s="1"/>
      <x:c r="O7" s="1"/>
    </x:row>
    <x:row r="8" ht="21" customHeight="1">
      <x:c r="A8" s="1"/>
      <x:c r="B8" s="1"/>
      <x:c r="C8" s="1" t="str">
        <x:v>Closing cash less balance sheet cash</x:v>
      </x:c>
      <x:c r="D8" s="37" t="n">
        <x:f>'Statements'!D39-'Statements'!D42-'Statements'!D43</x:f>
        <x:v>0</x:v>
      </x:c>
      <x:c r="E8" s="37" t="n">
        <x:f>'Statements'!E39-'Statements'!E42-'Statements'!E43</x:f>
        <x:v>0</x:v>
      </x:c>
      <x:c r="F8" s="37" t="n">
        <x:f>'Statements'!F39-'Statements'!F42-'Statements'!F43</x:f>
        <x:v>-2.842170943040401e-14</x:v>
      </x:c>
      <x:c r="G8" s="37" t="n">
        <x:f>'Statements'!G39-'Statements'!G42-'Statements'!G43</x:f>
        <x:v>-1.8207657603852567e-14</x:v>
      </x:c>
      <x:c r="H8" s="37" t="n">
        <x:f>'Statements'!H39-'Statements'!H42-'Statements'!H43</x:f>
        <x:v>-1.8207657603852567e-14</x:v>
      </x:c>
      <x:c r="I8" s="37" t="n">
        <x:f>'Statements'!I39-'Statements'!I42-'Statements'!I43</x:f>
        <x:v>-1.8207657603852567e-14</x:v>
      </x:c>
      <x:c r="J8" s="37" t="n">
        <x:f>'Statements'!J39-'Statements'!J42-'Statements'!J43</x:f>
        <x:v>-1.318944953254686e-13</x:v>
      </x:c>
      <x:c r="K8" s="37" t="n">
        <x:f>'Statements'!K39-'Statements'!K42-'Statements'!K43</x:f>
        <x:v>-2.4558133304708463e-13</x:v>
      </x:c>
      <x:c r="L8" s="37" t="n">
        <x:f>'Statements'!L39-'Statements'!L42-'Statements'!L43</x:f>
        <x:v>-4.729550084903167e-13</x:v>
      </x:c>
      <x:c r="M8" s="37" t="n">
        <x:f>'Statements'!M39-'Statements'!M42-'Statements'!M43</x:f>
        <x:v>-4.729550084903167e-13</x:v>
      </x:c>
      <x:c r="N8" s="1"/>
      <x:c r="O8" s="1"/>
    </x:row>
    <x:row r="9" ht="21" customHeight="1">
      <x:c r="A9" s="1"/>
      <x:c r="B9" s="1"/>
      <x:c r="C9" s="1" t="str">
        <x:v>Cash-flow roll-forward</x:v>
      </x:c>
      <x:c r="D9" s="37" t="n">
        <x:f>'Statements'!D38+'Statements'!D37-'Statements'!D39</x:f>
        <x:v>0</x:v>
      </x:c>
      <x:c r="E9" s="37" t="n">
        <x:f>'Statements'!E38+'Statements'!E37-'Statements'!E39</x:f>
        <x:v>0</x:v>
      </x:c>
      <x:c r="F9" s="37" t="n">
        <x:f>'Statements'!F38+'Statements'!F37-'Statements'!F39</x:f>
        <x:v>1.1368683772161603e-13</x:v>
      </x:c>
      <x:c r="G9" s="37" t="n">
        <x:f>'Statements'!G38+'Statements'!G37-'Statements'!G39</x:f>
        <x:v>0</x:v>
      </x:c>
      <x:c r="H9" s="37" t="n">
        <x:f>'Statements'!H38+'Statements'!H37-'Statements'!H39</x:f>
        <x:v>0</x:v>
      </x:c>
      <x:c r="I9" s="37" t="n">
        <x:f>'Statements'!I38+'Statements'!I37-'Statements'!I39</x:f>
        <x:v>0</x:v>
      </x:c>
      <x:c r="J9" s="37" t="n">
        <x:f>'Statements'!J38+'Statements'!J37-'Statements'!J39</x:f>
        <x:v>0</x:v>
      </x:c>
      <x:c r="K9" s="37" t="n">
        <x:f>'Statements'!K38+'Statements'!K37-'Statements'!K39</x:f>
        <x:v>0</x:v>
      </x:c>
      <x:c r="L9" s="37" t="n">
        <x:f>'Statements'!L38+'Statements'!L37-'Statements'!L39</x:f>
        <x:v>0</x:v>
      </x:c>
      <x:c r="M9" s="37" t="n">
        <x:f>'Statements'!M38+'Statements'!M37-'Statements'!M39</x:f>
        <x:v>0</x:v>
      </x:c>
      <x:c r="N9" s="1"/>
      <x:c r="O9" s="1"/>
    </x:row>
    <x:row r="10" ht="21" customHeight="1">
      <x:c r="A10" s="1"/>
      <x:c r="B10" s="1"/>
      <x:c r="C10" s="1" t="str">
        <x:v>Debt roll-forward</x:v>
      </x:c>
      <x:c r="D10" s="37"/>
      <x:c r="E10" s="37"/>
      <x:c r="F10" s="37"/>
      <x:c r="G10" s="37"/>
      <x:c r="H10" s="37" t="n">
        <x:f>'Financing'!H17-'Financing'!H18+'Financing'!H19-'Financing'!H20-'Financing'!H21</x:f>
        <x:v>0</x:v>
      </x:c>
      <x:c r="I10" s="37"/>
      <x:c r="J10" s="37" t="n">
        <x:f>'Financing'!J17-'Financing'!J18+'Financing'!J19-'Financing'!J20-'Financing'!J21</x:f>
        <x:v>0</x:v>
      </x:c>
      <x:c r="K10" s="37" t="n">
        <x:f>'Financing'!K17-'Financing'!K18+'Financing'!K19-'Financing'!K20-'Financing'!K21</x:f>
        <x:v>0</x:v>
      </x:c>
      <x:c r="L10" s="37" t="n">
        <x:f>'Financing'!L17-'Financing'!L18+'Financing'!L19-'Financing'!L20-'Financing'!L21</x:f>
        <x:v>0</x:v>
      </x:c>
      <x:c r="M10" s="37" t="n">
        <x:f>'Financing'!M17-'Financing'!M18+'Financing'!M19-'Financing'!M20-'Financing'!M21</x:f>
        <x:v>0</x:v>
      </x:c>
      <x:c r="N10" s="1"/>
      <x:c r="O10" s="1"/>
    </x:row>
    <x:row r="11" ht="21" customHeight="1">
      <x:c r="A11" s="1"/>
      <x:c r="B11" s="1"/>
      <x:c r="C11" s="1" t="str">
        <x:v>Share-count roll-forward</x:v>
      </x:c>
      <x:c r="D11" s="37"/>
      <x:c r="E11" s="37"/>
      <x:c r="F11" s="37"/>
      <x:c r="G11" s="37"/>
      <x:c r="H11" s="37" t="n">
        <x:f>'Financing'!H34+'Financing'!H35-'Financing'!H36</x:f>
        <x:v>0</x:v>
      </x:c>
      <x:c r="I11" s="37"/>
      <x:c r="J11" s="37" t="n">
        <x:f>'Financing'!J34+'Financing'!J35-'Financing'!J36</x:f>
        <x:v>0</x:v>
      </x:c>
      <x:c r="K11" s="37" t="n">
        <x:f>'Financing'!K34+'Financing'!K35-'Financing'!K36</x:f>
        <x:v>0</x:v>
      </x:c>
      <x:c r="L11" s="37" t="n">
        <x:f>'Financing'!L34+'Financing'!L35-'Financing'!L36</x:f>
        <x:v>0</x:v>
      </x:c>
      <x:c r="M11" s="37" t="n">
        <x:f>'Financing'!M34+'Financing'!M35-'Financing'!M36</x:f>
        <x:v>0</x:v>
      </x:c>
      <x:c r="N11" s="1"/>
      <x:c r="O11" s="1"/>
    </x:row>
    <x:row r="12" ht="21" customHeight="1">
      <x:c r="A12" s="1"/>
      <x:c r="B12" s="1"/>
      <x:c r="C12" s="1" t="str">
        <x:v>Interest plus fee reconciliation</x:v>
      </x:c>
      <x:c r="D12" s="37"/>
      <x:c r="E12" s="37"/>
      <x:c r="F12" s="37"/>
      <x:c r="G12" s="37"/>
      <x:c r="H12" s="37" t="n">
        <x:f>'Financing'!H30-'Financing'!H29-'Financing'!H24+'Financing'!H26</x:f>
        <x:v>0</x:v>
      </x:c>
      <x:c r="I12" s="37"/>
      <x:c r="J12" s="37" t="n">
        <x:f>'Financing'!J30-'Financing'!J29-'Financing'!J24+'Financing'!J26</x:f>
        <x:v>3.552713678800501e-15</x:v>
      </x:c>
      <x:c r="K12" s="37" t="n">
        <x:f>'Financing'!K30-'Financing'!K29-'Financing'!K24+'Financing'!K26</x:f>
        <x:v>0</x:v>
      </x:c>
      <x:c r="L12" s="37" t="n">
        <x:f>'Financing'!L30-'Financing'!L29-'Financing'!L24+'Financing'!L26</x:f>
        <x:v>0</x:v>
      </x:c>
      <x:c r="M12" s="37" t="n">
        <x:f>'Financing'!M30-'Financing'!M29-'Financing'!M24+'Financing'!M26</x:f>
        <x:v>0</x:v>
      </x:c>
      <x:c r="N12" s="1"/>
      <x:c r="O12" s="1"/>
    </x:row>
    <x:row r="13" ht="21" customHeight="1">
      <x:c r="A13" s="1"/>
      <x:c r="B13" s="1"/>
      <x:c r="C13" s="1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1"/>
      <x:c r="O13" s="1"/>
    </x:row>
    <x:row r="14" ht="21" customHeight="1">
      <x:c r="A14" s="1"/>
      <x:c r="B14" s="1"/>
      <x:c r="C14" s="1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1"/>
      <x:c r="O14" s="1"/>
    </x:row>
    <x:row r="15" ht="21" customHeight="1">
      <x:c r="A15" s="1"/>
      <x:c r="B15" s="1"/>
      <x:c r="C15" s="1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1"/>
      <x:c r="O15" s="1"/>
    </x:row>
    <x:row r="16" ht="21" customHeight="1">
      <x:c r="A16" s="1"/>
      <x:c r="B16" s="1"/>
      <x:c r="C16" s="1" t="str">
        <x:v>Sources / uses</x:v>
      </x:c>
      <x:c r="D16" s="37" t="n">
        <x:f>'Deal'!D43</x:f>
        <x:v>0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1"/>
      <x:c r="O16" s="1"/>
    </x:row>
    <x:row r="17" ht="21" customHeight="1">
      <x:c r="A17" s="1"/>
      <x:c r="B17" s="1"/>
      <x:c r="C17" s="1" t="str">
        <x:v>Equity allocation</x:v>
      </x:c>
      <x:c r="D17" s="37" t="n">
        <x:f>'Valuation'!D46</x:f>
        <x:v>0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1"/>
      <x:c r="O17" s="1"/>
    </x:row>
    <x:row r="18" ht="21" customHeight="1">
      <x:c r="A18" s="1"/>
      <x:c r="B18" s="1"/>
      <x:c r="C18" s="1" t="str">
        <x:v>Existing ownership and remaining purchase</x:v>
      </x:c>
      <x:c r="D18" s="37" t="n">
        <x:f>'Deal'!D25-'Deal'!D24-'Deal'!D16</x:f>
        <x:v>0</x:v>
      </x:c>
      <x:c r="E18" s="37"/>
      <x:c r="F18" s="37"/>
      <x:c r="G18" s="37"/>
      <x:c r="H18" s="37"/>
      <x:c r="I18" s="37"/>
      <x:c r="J18" s="37"/>
      <x:c r="K18" s="37"/>
      <x:c r="L18" s="37"/>
      <x:c r="M18" s="37"/>
      <x:c r="N18" s="1"/>
      <x:c r="O18" s="1"/>
    </x:row>
    <x:row r="19" ht="21" customHeight="1">
      <x:c r="A19" s="1"/>
      <x:c r="B19" s="1"/>
      <x:c r="C19" s="1" t="str">
        <x:v>Deal EV bridge</x:v>
      </x:c>
      <x:c r="D19" s="37" t="n">
        <x:f>'Deal'!D28-('Deal'!D25+'Deal'!D26-'Deal'!D27)</x:f>
        <x:v>0</x:v>
      </x:c>
      <x:c r="E19" s="37"/>
      <x:c r="F19" s="37"/>
      <x:c r="G19" s="37"/>
      <x:c r="H19" s="37"/>
      <x:c r="I19" s="37"/>
      <x:c r="J19" s="37"/>
      <x:c r="K19" s="37"/>
      <x:c r="L19" s="37"/>
      <x:c r="M19" s="37"/>
      <x:c r="N19" s="1"/>
      <x:c r="O19" s="1"/>
    </x:row>
    <x:row r="20" ht="21" customHeight="1">
      <x:c r="A20" s="1"/>
      <x:c r="B20" s="1"/>
      <x:c r="C20" s="1" t="str">
        <x:v>Invalid financing proportions</x:v>
      </x:c>
      <x:c r="D20" s="37" t="n">
        <x:f>IF(AND('Assumptions'!$D$92&gt;=0,'Assumptions'!$D$93&gt;=0,'Assumptions'!$D$92+'Assumptions'!$D$93&lt;=1),0,1)</x:f>
        <x:v>0</x:v>
      </x:c>
      <x:c r="E20" s="37"/>
      <x:c r="F20" s="37"/>
      <x:c r="G20" s="37"/>
      <x:c r="H20" s="37"/>
      <x:c r="I20" s="37"/>
      <x:c r="J20" s="37"/>
      <x:c r="K20" s="37"/>
      <x:c r="L20" s="37"/>
      <x:c r="M20" s="37"/>
      <x:c r="N20" s="1"/>
      <x:c r="O20" s="1"/>
    </x:row>
    <x:row r="21" ht="21" customHeight="1">
      <x:c r="A21" s="1"/>
      <x:c r="B21" s="1"/>
      <x:c r="C21" s="1" t="str">
        <x:v>EPS sensitivity algebra versus model</x:v>
      </x:c>
      <x:c r="D21" s="37" t="n">
        <x:f>(('Accretion'!K7+SUM('Accretion'!K10:K14)+('Synergies'!K12+'Synergies'!K14)*(1-1)*(1-'Assumptions'!$D$69)-(('Deal'!$D$15*'Deal'!D9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'Deal'!D9*(1+'Assumptions'!$D$95)+'Deal'!$D$26)/(1-'Assumptions'!$D$93*'Assumptions'!$D$96))*(1-'Assumptions'!$D$93-'Assumptions'!$D$92)/'Assumptions'!$D$106))/'Accretion'!K9-1-'Accretion'!K25</x:f>
        <x:v>-2.220446049250313e-16</x:v>
      </x:c>
      <x:c r="E21" s="37"/>
      <x:c r="F21" s="37"/>
      <x:c r="G21" s="37"/>
      <x:c r="H21" s="37"/>
      <x:c r="I21" s="37"/>
      <x:c r="J21" s="37"/>
      <x:c r="K21" s="37"/>
      <x:c r="L21" s="37"/>
      <x:c r="M21" s="37"/>
      <x:c r="N21" s="1"/>
      <x:c r="O21" s="1"/>
    </x:row>
    <x:row r="22" ht="21" customHeight="1">
      <x:c r="A22" s="1"/>
      <x:c r="B22" s="1"/>
      <x:c r="C22" s="1" t="str">
        <x:v>Accretion at EPS ceiling less threshold</x:v>
      </x:c>
      <x:c r="D22" s="37" t="n">
        <x:f>(('Accretion'!K7+SUM('Accretion'!K10:K14)+('Synergies'!K12+'Synergies'!K14)*(1-1)*(1-'Assumptions'!$D$69)-(('Deal'!$D$15*'Accretion'!D43*(1+'Assumptions'!$D$95)+'Deal'!$D$26)/(1-'Assumptions'!$D$93*'Assumptions'!$D$96))*('Assumptions'!$D$93*'Assumptions'!$D$94+'Assumptions'!$D$92*'Assumptions'!$D$82+'Assumptions'!$D$93*'Assumptions'!$D$96/'Assumptions'!$D$97)*(1-'Assumptions'!$D$69))/('Accretion'!K8+(('Deal'!$D$15*'Accretion'!D43*(1+'Assumptions'!$D$95)+'Deal'!$D$26)/(1-'Assumptions'!$D$93*'Assumptions'!$D$96))*(1-'Assumptions'!$D$93-'Assumptions'!$D$92)/'Assumptions'!$D$106))/'Accretion'!K9-1-'Assumptions'!$D$101</x:f>
        <x:v>0</x:v>
      </x:c>
      <x:c r="E22" s="37"/>
      <x:c r="F22" s="37"/>
      <x:c r="G22" s="37"/>
      <x:c r="H22" s="37"/>
      <x:c r="I22" s="37"/>
      <x:c r="J22" s="37"/>
      <x:c r="K22" s="37"/>
      <x:c r="L22" s="37"/>
      <x:c r="M22" s="37"/>
      <x:c r="N22" s="1"/>
      <x:c r="O22" s="1"/>
    </x:row>
    <x:row r="23" ht="21" customHeight="1">
      <x:c r="A23" s="1"/>
      <x:c r="B23" s="1"/>
      <x:c r="C23" s="1" t="str">
        <x:v>Economic ceiling NPV at close</x:v>
      </x:c>
      <x:c r="D23" s="37" t="n">
        <x:f>'Accretion'!D46+'Accretion'!D47-('Deal'!D15*'Accretion'!D50*(1+'Assumptions'!$D$95)+'Assumptions'!$D$93*'Assumptions'!$D$96*'Deal'!D26)/(1-'Assumptions'!$D$93*'Assumptions'!$D$96)</x:f>
        <x:v>0</x:v>
      </x:c>
      <x:c r="E23" s="37"/>
      <x:c r="F23" s="37"/>
      <x:c r="G23" s="37"/>
      <x:c r="H23" s="37"/>
      <x:c r="I23" s="37"/>
      <x:c r="J23" s="37"/>
      <x:c r="K23" s="37"/>
      <x:c r="L23" s="37"/>
      <x:c r="M23" s="37"/>
      <x:c r="N23" s="1"/>
      <x:c r="O23" s="1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conditionalFormatting sqref="D7:M23">
    <x:cfRule type="expression" dxfId="0" priority="1">
      <x:formula>ABS(D7)&gt;0.01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C6BA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76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  <x:c r="O1" s="1"/>
    </x:row>
    <x:row r="2" ht="21" customHeight="1">
      <x:c r="A2" s="1"/>
      <x:c r="B2" s="1"/>
      <x:c r="C2" s="3" t="str">
        <x:v>How to use the model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1" customHeight="1">
      <x:c r="A3" s="1"/>
      <x:c r="B3" s="1"/>
      <x:c r="C3" s="1" t="str">
        <x:v>Selected case</x:v>
      </x:c>
      <x:c r="D3" s="6" t="str">
        <x:f>'Assumptions'!D4</x:f>
        <x:v>Base</x:v>
      </x:c>
      <x:c r="E3" s="2"/>
      <x:c r="F3" s="5" t="str">
        <x:v>USD millions unless stated</x:v>
      </x:c>
      <x:c r="G3" s="5"/>
      <x:c r="H3" s="5"/>
      <x:c r="I3" s="5"/>
      <x:c r="J3" s="5"/>
      <x:c r="K3" s="5"/>
      <x:c r="L3" s="5"/>
      <x:c r="M3" s="5"/>
      <x:c r="N3" s="1"/>
      <x:c r="O3" s="1"/>
    </x:row>
    <x:row r="4" ht="21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  <x:c r="O4" s="1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"/>
      <x:c r="O5" s="1"/>
    </x:row>
    <x:row r="6" ht="44" customHeight="1">
      <x:c r="A6" s="1"/>
      <x:c r="B6" s="1"/>
      <x:c r="C6" s="1" t="str">
        <x:v>Scope</x:v>
      </x:c>
      <x:c r="D6" s="38" t="str">
        <x:v>Independent hypothetical M&amp;A advisory exercise. Valuation: 31 August 2026. Close: 1 January 2027. Prepared: 21 September 2026.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1"/>
      <x:c r="O6" s="1"/>
    </x:row>
    <x:row r="7" ht="44" customHeight="1">
      <x:c r="A7" s="1"/>
      <x:c r="B7" s="1"/>
      <x:c r="C7" s="1" t="str">
        <x:v>Navigation</x:v>
      </x:c>
      <x:c r="D7" s="38" t="str">
        <x:v>Dashboard: decision. Assumptions: controls. Statements, Operations, CapitalWC, Financing: operating model. Valuation, Comps, Precedents: value evidence.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1"/>
      <x:c r="O7" s="1"/>
    </x:row>
    <x:row r="8" ht="44" customHeight="1">
      <x:c r="A8" s="1"/>
      <x:c r="B8" s="1"/>
      <x:c r="C8" s="1" t="str">
        <x:v>Transaction tabs</x:v>
      </x:c>
      <x:c r="D8" s="38" t="str">
        <x:v>Deal: securities, funding and PPA. Synergies: incremental earnings and cash flow. Accretion: EPS and NPV. Sensitivities: formula-based grids.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1"/>
      <x:c r="O8" s="1"/>
    </x:row>
    <x:row r="9" ht="44" customHeight="1">
      <x:c r="A9" s="1"/>
      <x:c r="B9" s="1"/>
      <x:c r="C9" s="1" t="str">
        <x:v>Controls</x:v>
      </x:c>
      <x:c r="D9" s="38" t="str">
        <x:v>Change Assumptions D3: 1 Base, 2 Upside, 3 Downside, 4 Zero synergy. All live builds use selected drivers. Change blue cells only.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1"/>
      <x:c r="O9" s="1"/>
    </x:row>
    <x:row r="10" ht="44" customHeight="1">
      <x:c r="A10" s="1"/>
      <x:c r="B10" s="1"/>
      <x:c r="C10" s="1" t="str">
        <x:v>Case comparison</x:v>
      </x:c>
      <x:c r="D10" s="38" t="str">
        <x:v>Use the selector to inspect cases one at a time. Pitch book is a dated base-case export; it does not refresh automatically after workbook edits.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1"/>
      <x:c r="O10" s="1"/>
    </x:row>
    <x:row r="11" ht="44" customHeight="1">
      <x:c r="A11" s="1"/>
      <x:c r="B11" s="1"/>
      <x:c r="C11" s="1" t="str">
        <x:v>Colour key</x:v>
      </x:c>
      <x:c r="D11" s="38" t="str">
        <x:v>Blue: hardcoded input. Green: cross-sheet formula. Dark: same-sheet formula or dashboard output. No external workbook links.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1"/>
      <x:c r="O11" s="1"/>
    </x:row>
    <x:row r="12" ht="44" customHeight="1">
      <x:c r="A12" s="1"/>
      <x:c r="B12" s="1"/>
      <x:c r="C12" s="1" t="str">
        <x:v>Periods</x:v>
      </x:c>
      <x:c r="D12" s="38" t="str">
        <x:v>D-F: FY2023-25 actual. G: H1 2026 actual. H: H2 forecast. I: FY2026 total. J-M: FY2027-30 forecast. History H alone is H1 2025 for LTM construction.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1"/>
      <x:c r="O12" s="1"/>
    </x:row>
    <x:row r="13" ht="44" customHeight="1">
      <x:c r="A13" s="1"/>
      <x:c r="B13" s="1"/>
      <x:c r="C13" s="1" t="str">
        <x:v>Signs and units</x:v>
      </x:c>
      <x:c r="D13" s="38" t="str">
        <x:v>USD millions and shares in millions unless stated. IS costs positive. Cash-flow inflows positive. Parentheses denote negative amounts.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1"/>
      <x:c r="O13" s="1"/>
    </x:row>
    <x:row r="14" ht="44" customHeight="1">
      <x:c r="A14" s="1"/>
      <x:c r="B14" s="1"/>
      <x:c r="C14" s="1" t="str">
        <x:v>Financing policy</x:v>
      </x:c>
      <x:c r="D14" s="38" t="str">
        <x:v>Opening-balance interest avoids circularity. Preserve USD200m cash, draw if needed, sweep 50% excess to principal. No projected repurchases.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1"/>
      <x:c r="O14" s="1"/>
    </x:row>
    <x:row r="15" ht="44" customHeight="1">
      <x:c r="A15" s="1"/>
      <x:c r="B15" s="1"/>
      <x:c r="C15" s="1" t="str">
        <x:v>Revenue</x:v>
      </x:c>
      <x:c r="D15" s="38" t="str">
        <x:v>Only disclosed brand totals used. H2/H1 growth assumptions avoid annualising partial acquisition periods. No fabricated volumes or segment margins.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1"/>
      <x:c r="O15" s="1"/>
    </x:row>
    <x:row r="16" ht="44" customHeight="1">
      <x:c r="A16" s="1"/>
      <x:c r="B16" s="1"/>
      <x:c r="C16" s="1" t="str">
        <x:v>Preferred securities</x:v>
      </x:c>
      <x:c r="D16" s="38" t="str">
        <x:v>Series A/B belong to PepsiCo. Change-of-control value is max(face, conversion value). Assume negotiated non-cash cancellation. Common awards cash out at target performance.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1"/>
      <x:c r="O16" s="1"/>
    </x:row>
    <x:row r="17" ht="44" customHeight="1">
      <x:c r="A17" s="1"/>
      <x:c r="B17" s="1"/>
      <x:c r="C17" s="1" t="str">
        <x:v>Standalone valuation</x:v>
      </x:c>
      <x:c r="D17" s="38" t="str">
        <x:v>Preferred allocation is a liquidation-equivalent proxy, not a Monte Carlo option valuation. Coupons remain in operating financing model, outside UFCF.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1"/>
      <x:c r="O17" s="1"/>
    </x:row>
    <x:row r="18" ht="44" customHeight="1">
      <x:c r="A18" s="1"/>
      <x:c r="B18" s="1"/>
      <x:c r="C18" s="1" t="str">
        <x:v>Cash flow value</x:v>
      </x:c>
      <x:c r="D18" s="38" t="str">
        <x:v>DCF includes four remaining months of 2026 and forecasts through 2030. Aug debt/cash interpolated. No forecast SBC add-back. Terminal working capital grows at terminal rate.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1"/>
      <x:c r="O18" s="1"/>
    </x:row>
    <x:row r="19" ht="44" customHeight="1">
      <x:c r="A19" s="1"/>
      <x:c r="B19" s="1"/>
      <x:c r="C19" s="1" t="str">
        <x:v>Purchase accounting</x:v>
      </x:c>
      <x:c r="D19" s="38" t="str">
        <x:v>PPA uplift and asset lives are estimates. Pre-existing contract settlement net impact assumed zero. Remeasurement gains and OCI recycling excluded from recurring EPS.</x:v>
      </x:c>
      <x:c r="E19" s="38"/>
      <x:c r="F19" s="38"/>
      <x:c r="G19" s="38"/>
      <x:c r="H19" s="38"/>
      <x:c r="I19" s="38"/>
      <x:c r="J19" s="38"/>
      <x:c r="K19" s="38"/>
      <x:c r="L19" s="38"/>
      <x:c r="M19" s="38"/>
      <x:c r="N19" s="1"/>
      <x:c r="O19" s="1"/>
    </x:row>
    <x:row r="20" ht="44" customHeight="1">
      <x:c r="A20" s="1"/>
      <x:c r="B20" s="1"/>
      <x:c r="C20" s="1" t="str">
        <x:v>Financing sensitivity</x:v>
      </x:c>
      <x:c r="D20" s="38" t="str">
        <x:v>Funding proportions apply to total uses including fees. Debt fees solved algebraically. Prices, rates and funding grids use live formulas, not Excel Data Tables.</x:v>
      </x:c>
      <x:c r="E20" s="38"/>
      <x:c r="F20" s="38"/>
      <x:c r="G20" s="38"/>
      <x:c r="H20" s="38"/>
      <x:c r="I20" s="38"/>
      <x:c r="J20" s="38"/>
      <x:c r="K20" s="38"/>
      <x:c r="L20" s="38"/>
      <x:c r="M20" s="38"/>
      <x:c r="N20" s="1"/>
      <x:c r="O20" s="1"/>
    </x:row>
    <x:row r="21" ht="44" customHeight="1">
      <x:c r="A21" s="1"/>
      <x:c r="B21" s="1"/>
      <x:c r="C21" s="1" t="str">
        <x:v>Limitations</x:v>
      </x:c>
      <x:c r="D21" s="38" t="str">
        <x:v>Interim balance sheets proxy August capitalisation. No consensus estimates. Thin precedents. Model does not establish a financing commitment, legal conclusion or audit opinion.</x:v>
      </x:c>
      <x:c r="E21" s="38"/>
      <x:c r="F21" s="38"/>
      <x:c r="G21" s="38"/>
      <x:c r="H21" s="38"/>
      <x:c r="I21" s="38"/>
      <x:c r="J21" s="38"/>
      <x:c r="K21" s="38"/>
      <x:c r="L21" s="38"/>
      <x:c r="M21" s="38"/>
      <x:c r="N21" s="1"/>
      <x:c r="O21" s="1"/>
    </x:row>
    <x:row r="22" ht="44" customHeight="1">
      <x:c r="A22" s="1"/>
      <x:c r="B22" s="1"/>
      <x:c r="C22" s="1" t="str">
        <x:v>Validation</x:v>
      </x:c>
      <x:c r="D22" s="38" t="str">
        <x:v>Checks tab observes differences. Separate validation report records engine tests, case changes, layout review and limitations.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1"/>
      <x:c r="O22" s="1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1"/>
      <x:c r="O23" s="1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"/>
      <x:c r="O24" s="1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1"/>
      <x:c r="O25" s="1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1"/>
      <x:c r="O26" s="1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1"/>
      <x:c r="O27" s="1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1"/>
      <x:c r="O28" s="1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1"/>
      <x:c r="O29" s="1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1"/>
      <x:c r="O30" s="1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1"/>
      <x:c r="O31" s="1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1"/>
      <x:c r="O32" s="1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1"/>
      <x:c r="O33" s="1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1"/>
      <x:c r="O34" s="1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1"/>
      <x:c r="O35" s="1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1"/>
      <x:c r="O36" s="1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1"/>
      <x:c r="O37" s="1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1"/>
      <x:c r="O38" s="1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"/>
      <x:c r="O39" s="1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1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1"/>
      <x:c r="O41" s="1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1"/>
      <x:c r="O42" s="1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1"/>
      <x:c r="O43" s="1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1"/>
      <x:c r="O44" s="1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1"/>
      <x:c r="O45" s="1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1"/>
      <x:c r="O46" s="1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1"/>
      <x:c r="O47" s="1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1"/>
      <x:c r="O48" s="1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1"/>
      <x:c r="O49" s="1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1"/>
      <x:c r="O50" s="1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1"/>
      <x:c r="O51" s="1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1"/>
      <x:c r="O52" s="1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1"/>
      <x:c r="O53" s="1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1"/>
      <x:c r="O54" s="1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1"/>
      <x:c r="O55" s="1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1"/>
      <x:c r="O56" s="1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1"/>
      <x:c r="O57" s="1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1"/>
      <x:c r="O58" s="1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1"/>
      <x:c r="O59" s="1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1"/>
      <x:c r="O60" s="1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1"/>
      <x:c r="O61" s="1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1"/>
      <x:c r="O62" s="1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1"/>
      <x:c r="O63" s="1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1"/>
      <x:c r="O64" s="1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1"/>
      <x:c r="O65" s="1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1"/>
      <x:c r="O66" s="1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1"/>
      <x:c r="O67" s="1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1"/>
      <x:c r="O68" s="1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1"/>
      <x:c r="O69" s="1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1"/>
      <x:c r="O70" s="1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1"/>
      <x:c r="O71" s="1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1"/>
      <x:c r="O72" s="1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1"/>
      <x:c r="O73" s="1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1"/>
      <x:c r="O74" s="1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1"/>
      <x:c r="O75" s="1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1"/>
      <x:c r="O76" s="1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1"/>
      <x:c r="O77" s="1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1"/>
      <x:c r="O78" s="1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1"/>
      <x:c r="O79" s="1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1"/>
      <x:c r="O80" s="1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1"/>
      <x:c r="O81" s="1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1"/>
      <x:c r="O82" s="1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1"/>
      <x:c r="O83" s="1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1"/>
      <x:c r="O84" s="1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1"/>
      <x:c r="O85" s="1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1"/>
      <x:c r="O86" s="1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1"/>
      <x:c r="O87" s="1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1"/>
      <x:c r="O88" s="1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1"/>
      <x:c r="O89" s="1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1"/>
      <x:c r="O90" s="1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1"/>
      <x:c r="O91" s="1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1"/>
      <x:c r="O92" s="1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1"/>
      <x:c r="O93" s="1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1"/>
      <x:c r="O94" s="1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1"/>
      <x:c r="O95" s="1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1"/>
      <x:c r="O96" s="1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1"/>
      <x:c r="O97" s="1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1"/>
      <x:c r="O98" s="1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1"/>
      <x:c r="O99" s="1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1"/>
      <x:c r="O100" s="1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1"/>
      <x:c r="O101" s="1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1"/>
      <x:c r="O102" s="1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1"/>
      <x:c r="O103" s="1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1"/>
      <x:c r="O104" s="1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1"/>
      <x:c r="O105" s="1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1"/>
      <x:c r="O106" s="1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1"/>
      <x:c r="O107" s="1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1"/>
      <x:c r="O108" s="1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1"/>
      <x:c r="O109" s="1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1"/>
      <x:c r="O110" s="1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1"/>
      <x:c r="O111" s="1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1"/>
      <x:c r="O112" s="1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1"/>
      <x:c r="O113" s="1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1"/>
      <x:c r="O114" s="1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1"/>
      <x:c r="O115" s="1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1"/>
      <x:c r="O116" s="1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1"/>
      <x:c r="O117" s="1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1"/>
      <x:c r="O118" s="1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1"/>
      <x:c r="O119" s="1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1"/>
      <x:c r="O120" s="1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1"/>
      <x:c r="O121" s="1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1"/>
      <x:c r="O122" s="1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1"/>
      <x:c r="O123" s="1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1"/>
      <x:c r="O124" s="1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1"/>
      <x:c r="O125" s="1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1"/>
      <x:c r="O126" s="1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1"/>
      <x:c r="O127" s="1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1"/>
      <x:c r="O128" s="1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1"/>
      <x:c r="O129" s="1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1"/>
      <x:c r="O130" s="1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1"/>
      <x:c r="O131" s="1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1"/>
      <x:c r="O132" s="1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1"/>
      <x:c r="O133" s="1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1"/>
      <x:c r="O134" s="1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1"/>
      <x:c r="O135" s="1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1"/>
      <x:c r="O136" s="1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1"/>
      <x:c r="O137" s="1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1"/>
      <x:c r="O138" s="1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1"/>
      <x:c r="O139" s="1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1"/>
      <x:c r="O140" s="1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"/>
      <x:c r="O141" s="1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"/>
      <x:c r="O142" s="1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1"/>
      <x:c r="O143" s="1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1"/>
      <x:c r="O144" s="1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1"/>
      <x:c r="O145" s="1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1"/>
      <x:c r="O146" s="1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1"/>
      <x:c r="O147" s="1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1"/>
      <x:c r="O148" s="1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1"/>
      <x:c r="O149" s="1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1"/>
      <x:c r="O150" s="1"/>
    </x:row>
  </x:sheetData>
  <x:mergeCells>
    <x:mergeCell ref="D6:M6"/>
    <x:mergeCell ref="D7:M7"/>
    <x:mergeCell ref="D8:M8"/>
    <x:mergeCell ref="D9:M9"/>
    <x:mergeCell ref="D10:M10"/>
    <x:mergeCell ref="D11:M11"/>
    <x:mergeCell ref="D12:M12"/>
    <x:mergeCell ref="D13:M13"/>
    <x:mergeCell ref="D14:M14"/>
    <x:mergeCell ref="D15:M15"/>
    <x:mergeCell ref="D16:M16"/>
    <x:mergeCell ref="D17:M17"/>
    <x:mergeCell ref="D18:M18"/>
    <x:mergeCell ref="D19:M19"/>
    <x:mergeCell ref="D20:M20"/>
    <x:mergeCell ref="D21:M21"/>
    <x:mergeCell ref="D22:M22"/>
  </x:mergeCells>
  <x:pageMargins left="0.7" right="0.7" top="0.75" bottom="0.75" header="0.3" footer="0.3"/>
</x:worksheet>
</file>